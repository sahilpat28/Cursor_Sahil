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ijin.rajan\Desktop\"/>
    </mc:Choice>
  </mc:AlternateContent>
  <xr:revisionPtr revIDLastSave="0" documentId="13_ncr:1_{D9A12061-A444-4AE0-93C5-63D4C7AA544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3" r:id="rId1"/>
    <sheet name="Sahil-Open Pipeline" sheetId="1" r:id="rId2"/>
  </sheets>
  <definedNames>
    <definedName name="_xlnm._FilterDatabase" localSheetId="1" hidden="1">'Sahil-Open Pipeline'!$A$1:$T$1</definedName>
  </definedNames>
  <calcPr calcId="0"/>
  <pivotCaches>
    <pivotCache cacheId="11" r:id="rId3"/>
  </pivotCaches>
</workbook>
</file>

<file path=xl/sharedStrings.xml><?xml version="1.0" encoding="utf-8"?>
<sst xmlns="http://schemas.openxmlformats.org/spreadsheetml/2006/main" count="443" uniqueCount="201">
  <si>
    <t>Opportunity Owner</t>
  </si>
  <si>
    <t>Opportunity ID</t>
  </si>
  <si>
    <t>Technical Owner</t>
  </si>
  <si>
    <t>Opportunity Name</t>
  </si>
  <si>
    <t>Partner Owner</t>
  </si>
  <si>
    <t>Opportunity Stage</t>
  </si>
  <si>
    <t>Design Win Date</t>
  </si>
  <si>
    <t>Opportunity Coverage</t>
  </si>
  <si>
    <t>Parent Account</t>
  </si>
  <si>
    <t>Account Name</t>
  </si>
  <si>
    <t>Business Unit Territory</t>
  </si>
  <si>
    <t>Classification</t>
  </si>
  <si>
    <t>Created Date</t>
  </si>
  <si>
    <t>Production Start Date</t>
  </si>
  <si>
    <t>Probability (%)</t>
  </si>
  <si>
    <t>Vertical Market</t>
  </si>
  <si>
    <t>Distributor Account</t>
  </si>
  <si>
    <t>Product Group</t>
  </si>
  <si>
    <t>Product Name</t>
  </si>
  <si>
    <t>Peak Value</t>
  </si>
  <si>
    <t>Natarajan Hariramakrishnan</t>
  </si>
  <si>
    <t>006Ui00001YL0FI</t>
  </si>
  <si>
    <t>Akash Gupta</t>
  </si>
  <si>
    <t>Logic Management Controller (ILMC) 20250518195717</t>
  </si>
  <si>
    <t>Define</t>
  </si>
  <si>
    <t>9/22/2026</t>
  </si>
  <si>
    <t>Channel Opportunity (DR)</t>
  </si>
  <si>
    <t>BHARAT ELEC</t>
  </si>
  <si>
    <t>BHARAT ELECTRONICS LIMITED</t>
  </si>
  <si>
    <t>AP-INDIA</t>
  </si>
  <si>
    <t>Focused</t>
  </si>
  <si>
    <t>5/18/2025</t>
  </si>
  <si>
    <t>11/24/2027</t>
  </si>
  <si>
    <t>Defense</t>
  </si>
  <si>
    <t>Macnica Cytech Pte Ltd.</t>
  </si>
  <si>
    <t>MAX® 10 FPGA 10M08 (M153)</t>
  </si>
  <si>
    <t>MAX® 10 FPGA 10M08 (M153) 10M08SCM153I7G</t>
  </si>
  <si>
    <t>006Ui00001jbJdy</t>
  </si>
  <si>
    <t/>
  </si>
  <si>
    <t>Control Unit for Integrated Traffic Management System 20250924014439</t>
  </si>
  <si>
    <t>Develop</t>
  </si>
  <si>
    <t>10/30/2026</t>
  </si>
  <si>
    <t>9/24/2025</t>
  </si>
  <si>
    <t>11/24/2028</t>
  </si>
  <si>
    <t>Industrial</t>
  </si>
  <si>
    <t>Agilex™ 5 FPGA E-Series 065B (B32A)</t>
  </si>
  <si>
    <t>Agilex™ 5 FPGA E-Series 065B (B32A) A5ED065BB32AI6S</t>
  </si>
  <si>
    <t>Agilex™ 5 FPGA E-Series 065B (B32A) A5ED065BB32AE6SR0</t>
  </si>
  <si>
    <t>006Ui000025viN1</t>
  </si>
  <si>
    <t>XMC based Quad 10G Card</t>
  </si>
  <si>
    <t>2/4/2026</t>
  </si>
  <si>
    <t>10/19/2027</t>
  </si>
  <si>
    <t>Agilex™ 7 FPGA F-Series 006 (R16A)</t>
  </si>
  <si>
    <t>Agilex™ 7 FPGA F-Series 006 (R16A) AGFA006R16A2I2V</t>
  </si>
  <si>
    <t>006Ui00001YKvxw</t>
  </si>
  <si>
    <t>Mayank Pandey</t>
  </si>
  <si>
    <t>SMART messaging</t>
  </si>
  <si>
    <t>9/18/2026</t>
  </si>
  <si>
    <t>6/4/2023</t>
  </si>
  <si>
    <t>5/21/2028</t>
  </si>
  <si>
    <t>Arrow Electronics India Pvt. Ltd.</t>
  </si>
  <si>
    <t>MAX® 10 FPGA 10M16 (F256)</t>
  </si>
  <si>
    <t>MAX® 10 FPGA 10M16 (F256) 10M16DAF256I7G</t>
  </si>
  <si>
    <t>MAX® 10 FPGA 10M50 (F484)</t>
  </si>
  <si>
    <t>MAX® 10 FPGA 10M50 (F484) 10M50DAF484I7G</t>
  </si>
  <si>
    <t>006Ui00001YL5Cf</t>
  </si>
  <si>
    <t>GigaLink Card 20240724213152</t>
  </si>
  <si>
    <t>10/21/2026</t>
  </si>
  <si>
    <t>7/24/2024</t>
  </si>
  <si>
    <t>1/12/2027</t>
  </si>
  <si>
    <t>Cyclone® IV GX FPGA EP4CGX75 (F27)</t>
  </si>
  <si>
    <t>Cyclone® IV GX FPGA EP4CGX75 (F27) EP4CGX75DF27I7N</t>
  </si>
  <si>
    <t>006Ui00001YL5Cg</t>
  </si>
  <si>
    <t>IPGateway Card for TCS Project 20240725090407</t>
  </si>
  <si>
    <t>8/11/2026</t>
  </si>
  <si>
    <t>7/25/2024</t>
  </si>
  <si>
    <t>3/30/2027</t>
  </si>
  <si>
    <t>Agilex™ 5 FPGA E-Series 065B (B32A) A5ED065BB32AE4SR0</t>
  </si>
  <si>
    <t>006Ui00001e2bC1</t>
  </si>
  <si>
    <t>DVI TX RX Card 20250821062728</t>
  </si>
  <si>
    <t>Rajesh Puranik</t>
  </si>
  <si>
    <t>10/28/2026</t>
  </si>
  <si>
    <t>8/21/2025</t>
  </si>
  <si>
    <t>1/13/2027</t>
  </si>
  <si>
    <t>Arria® V GX FPGA 5AGXA3 (F31)</t>
  </si>
  <si>
    <t>Arria® V GX FPGA 5AGXA3 (F31) 5AGXBA3D4F31I5G</t>
  </si>
  <si>
    <t>006Ui00001vDMxT</t>
  </si>
  <si>
    <t>QTRM(Quad transmitter Receiver Module)  Cluster Controller 20251202082502</t>
  </si>
  <si>
    <t>Design</t>
  </si>
  <si>
    <t>10/13/2026</t>
  </si>
  <si>
    <t>12/2/2025</t>
  </si>
  <si>
    <t>6/21/2027</t>
  </si>
  <si>
    <t>Arria® 10 SX FPGA 10AS048 (F34)</t>
  </si>
  <si>
    <t>Arria® 10 SX FPGA 10AS048 (F34) 10AS048H3F34I2SG</t>
  </si>
  <si>
    <t>006Ui00002M2mm3</t>
  </si>
  <si>
    <t>LINK4_Encryption card 20260427103023</t>
  </si>
  <si>
    <t>sumanth Raju</t>
  </si>
  <si>
    <t>10/23/2026</t>
  </si>
  <si>
    <t>4/27/2026</t>
  </si>
  <si>
    <t>10/17/2027</t>
  </si>
  <si>
    <t>Cyclone® 10 GX FPGA 10CX105 (F780)</t>
  </si>
  <si>
    <t>Cyclone® 10 GX FPGA 10CX105 (F780) 10CX105YF780I6G</t>
  </si>
  <si>
    <t>006Ui00001bILRZ</t>
  </si>
  <si>
    <t>WLR control card 20250805010133</t>
  </si>
  <si>
    <t>10/14/2026</t>
  </si>
  <si>
    <t>BHARATH ELECTRONICS LIMITED</t>
  </si>
  <si>
    <t>8/5/2025</t>
  </si>
  <si>
    <t>6/18/2028</t>
  </si>
  <si>
    <t>Government</t>
  </si>
  <si>
    <t>Cyclone® V E FPGA 5CEA4 (F17)</t>
  </si>
  <si>
    <t>Cyclone® V E FPGA 5CEA4 (F17) 5CEBA4F17I7N</t>
  </si>
  <si>
    <t>Narasimhan Renganathan</t>
  </si>
  <si>
    <t>006Ui00001rc8Yb</t>
  </si>
  <si>
    <t>Kasturi Rangan</t>
  </si>
  <si>
    <t>8300_SW Platform</t>
  </si>
  <si>
    <t>8/8/2026</t>
  </si>
  <si>
    <t>Altera Opportunity</t>
  </si>
  <si>
    <t>CIENA</t>
  </si>
  <si>
    <t>CIENA INDIA PVT LTD</t>
  </si>
  <si>
    <t>Major</t>
  </si>
  <si>
    <t>11/11/2025</t>
  </si>
  <si>
    <t>1/15/2027</t>
  </si>
  <si>
    <t>Networking and Data Center OEM (IHV, ISV, SI, VAR)</t>
  </si>
  <si>
    <t>MAX® 10 FPGA 10M08 (U169)</t>
  </si>
  <si>
    <t>MAX® 10 FPGA 10M08 (U169) 10M08SAU169I7G</t>
  </si>
  <si>
    <t>006Ui00001YL1gQ</t>
  </si>
  <si>
    <t>Next version UAV communication 20250622234159</t>
  </si>
  <si>
    <t>9/10/2026</t>
  </si>
  <si>
    <t>DEFENCE ELECTRONICS &amp; APPLICATION</t>
  </si>
  <si>
    <t>DEFENCE ELECTRONICS APPLICATION LABORATORY (DEAL) - DRDO</t>
  </si>
  <si>
    <t>6/22/2025</t>
  </si>
  <si>
    <t>11/6/2026</t>
  </si>
  <si>
    <t>Cyclone® V SE FPGA 5CSEA5 (F31)</t>
  </si>
  <si>
    <t>Cyclone® V SE FPGA 5CSEA5 (F31) 5CSEMA5F31A7N</t>
  </si>
  <si>
    <t>006Ui00001ciVhd</t>
  </si>
  <si>
    <t>Handheld Radio 20250814020529</t>
  </si>
  <si>
    <t>10/15/2026</t>
  </si>
  <si>
    <t>8/14/2025</t>
  </si>
  <si>
    <t>12/11/2027</t>
  </si>
  <si>
    <t>Agilex™ 3 FPGA C-Series 135 (M16A)</t>
  </si>
  <si>
    <t>Agilex™ 3 FPGA C-Series 135 (M16A) A3CY135BM16AI6S</t>
  </si>
  <si>
    <t>006Ui00001nYfqP</t>
  </si>
  <si>
    <t>Virupaksha Radar 20251017085536</t>
  </si>
  <si>
    <t>Prasad Chalicheemala</t>
  </si>
  <si>
    <t>10/17/2026</t>
  </si>
  <si>
    <t>ELECTRONICS &amp; RADAR DEVELOPMENT</t>
  </si>
  <si>
    <t>LRDE/DRDO</t>
  </si>
  <si>
    <t>10/17/2025</t>
  </si>
  <si>
    <t>8/6/2028</t>
  </si>
  <si>
    <t>Agilex™ 7 FPGA F-Series 027 (R24C)</t>
  </si>
  <si>
    <t>Agilex™ 7 FPGA F-Series 027 (R24C) AGFB027R24C2I3V</t>
  </si>
  <si>
    <t>006Ui00001YKyg7</t>
  </si>
  <si>
    <t>amolkumar sakhare</t>
  </si>
  <si>
    <t>Radar Timing Generation Unit for BFSR new ver (Battle Field Surveillance Radar)</t>
  </si>
  <si>
    <t>Amolkumar Sakhare</t>
  </si>
  <si>
    <t>ELECTRONICS RADAR DEVELOPMENT AND ESTABLISHMENT</t>
  </si>
  <si>
    <t>1/5/2024</t>
  </si>
  <si>
    <t>10/20/2027</t>
  </si>
  <si>
    <t>006Ui00001YKygN</t>
  </si>
  <si>
    <t>Harmonic radar 20240625065537</t>
  </si>
  <si>
    <t>8/14/2026</t>
  </si>
  <si>
    <t>6/25/2024</t>
  </si>
  <si>
    <t>10/23/2027</t>
  </si>
  <si>
    <t>Agilex™ 7 FPGA F-Series 027 (R31C)</t>
  </si>
  <si>
    <t>Agilex™ 7 FPGA F-Series 027 (R31C) AGFB027R31C2I3V</t>
  </si>
  <si>
    <t>006Ui00001s7kCz</t>
  </si>
  <si>
    <t>S-Band Octal Digital Transmit and Receive Module</t>
  </si>
  <si>
    <t>10/9/2026</t>
  </si>
  <si>
    <t>11/13/2025</t>
  </si>
  <si>
    <t>7/27/2029</t>
  </si>
  <si>
    <t>006Ui00001YKvBq</t>
  </si>
  <si>
    <t>Modem Board - Communication Modbus 20250429203700</t>
  </si>
  <si>
    <t>10/25/2026</t>
  </si>
  <si>
    <t>EMERSON</t>
  </si>
  <si>
    <t>EMERSON INNOVATION CENTER - PUNE</t>
  </si>
  <si>
    <t>Emerging</t>
  </si>
  <si>
    <t>4/29/2025</t>
  </si>
  <si>
    <t>9/15/2027</t>
  </si>
  <si>
    <t>MAX® V CPLD 5M160Z</t>
  </si>
  <si>
    <t>MAX® V CPLD 5M160Z 5M160ZE64I5N</t>
  </si>
  <si>
    <t>006Ui00001rx0cr</t>
  </si>
  <si>
    <t>digital I/O module 20251112193233</t>
  </si>
  <si>
    <t>9/1/2026</t>
  </si>
  <si>
    <t>11/12/2025</t>
  </si>
  <si>
    <t>12/6/2026</t>
  </si>
  <si>
    <t>MAX® V CPLD 5M80Z</t>
  </si>
  <si>
    <t>MAX® V CPLD 5M80Z 5M80ZT100I5N</t>
  </si>
  <si>
    <t>MAX® V CPLD 5M240Z</t>
  </si>
  <si>
    <t>MAX® V CPLD 5M240Z 5M240ZT144I5N</t>
  </si>
  <si>
    <t>006Ui00001cftdL</t>
  </si>
  <si>
    <t>Sahil Patni</t>
  </si>
  <si>
    <t>Intelligent Sense _Response Solution_AI</t>
  </si>
  <si>
    <t>OUTDU MEDIATECH PRIVATE LIMITED</t>
  </si>
  <si>
    <t>Outdu Mediatech Private Limited</t>
  </si>
  <si>
    <t>8/13/2025</t>
  </si>
  <si>
    <t>Broadcast</t>
  </si>
  <si>
    <t>Agilex™ 5 FPGA D-Series 064 (B32B)</t>
  </si>
  <si>
    <t>Agilex™ 5 FPGA D-Series 064 (B32B) A5DD064AB32BI2V</t>
  </si>
  <si>
    <t>Row Labels</t>
  </si>
  <si>
    <t>Grand Total</t>
  </si>
  <si>
    <t>Sum of Peak 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</si>
</sst>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%"/>
    <numFmt numFmtId="165" formatCode="&quot;$&quot;#,##0;\-&quot;$&quot;#,##0"/>
  </numFmts>
  <fonts count="3" x14ac:knownFonts="1">
    <font>
      <sz val="11"/>
      <color indexed="8"/>
      <name val="Aptos Narrow"/>
      <family val="2"/>
      <scheme val="minor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9E8E5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3" borderId="1" xfId="0" applyFont="1" applyFill="1" applyBorder="1" applyAlignment="1">
      <alignment horizontal="left"/>
    </xf>
    <xf numFmtId="164" fontId="2" fillId="3" borderId="1" xfId="0" applyNumberFormat="1" applyFont="1" applyFill="1" applyBorder="1" applyAlignment="1">
      <alignment horizontal="right"/>
    </xf>
    <xf numFmtId="165" fontId="2" fillId="3" borderId="1" xfId="0" applyNumberFormat="1" applyFont="1" applyFill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an, Bijin" refreshedDate="46231.547237037033" createdVersion="8" refreshedVersion="8" minRefreshableVersion="3" recordCount="23" xr:uid="{ED7FB834-22CA-4C03-B7C3-9E103CF6E1BA}">
  <cacheSource type="worksheet">
    <worksheetSource ref="A1:T24" sheet="Sahil-Open Pipeline"/>
  </cacheSource>
  <cacheFields count="20">
    <cacheField name="Opportunity Owner" numFmtId="0">
      <sharedItems/>
    </cacheField>
    <cacheField name="Opportunity ID" numFmtId="0">
      <sharedItems/>
    </cacheField>
    <cacheField name="Technical Owner" numFmtId="0">
      <sharedItems/>
    </cacheField>
    <cacheField name="Opportunity Name" numFmtId="0">
      <sharedItems/>
    </cacheField>
    <cacheField name="Partner Owner" numFmtId="0">
      <sharedItems/>
    </cacheField>
    <cacheField name="Opportunity Stage" numFmtId="0">
      <sharedItems/>
    </cacheField>
    <cacheField name="Design Win Date" numFmtId="0">
      <sharedItems/>
    </cacheField>
    <cacheField name="Opportunity Coverage" numFmtId="0">
      <sharedItems/>
    </cacheField>
    <cacheField name="Parent Account" numFmtId="0">
      <sharedItems count="6">
        <s v="BHARAT ELEC"/>
        <s v="CIENA"/>
        <s v="DEFENCE ELECTRONICS &amp; APPLICATION"/>
        <s v="ELECTRONICS &amp; RADAR DEVELOPMENT"/>
        <s v="EMERSON"/>
        <s v="OUTDU MEDIATECH PRIVATE LIMITED"/>
      </sharedItems>
    </cacheField>
    <cacheField name="Account Name" numFmtId="0">
      <sharedItems/>
    </cacheField>
    <cacheField name="Business Unit Territory" numFmtId="0">
      <sharedItems/>
    </cacheField>
    <cacheField name="Classification" numFmtId="0">
      <sharedItems/>
    </cacheField>
    <cacheField name="Created Date" numFmtId="0">
      <sharedItems/>
    </cacheField>
    <cacheField name="Production Start Date" numFmtId="0">
      <sharedItems/>
    </cacheField>
    <cacheField name="Probability (%)" numFmtId="164">
      <sharedItems containsSemiMixedTypes="0" containsString="0" containsNumber="1" minValue="0.15" maxValue="0.75"/>
    </cacheField>
    <cacheField name="Vertical Market" numFmtId="0">
      <sharedItems/>
    </cacheField>
    <cacheField name="Distributor Account" numFmtId="0">
      <sharedItems/>
    </cacheField>
    <cacheField name="Product Group" numFmtId="0">
      <sharedItems/>
    </cacheField>
    <cacheField name="Product Name" numFmtId="0">
      <sharedItems/>
    </cacheField>
    <cacheField name="Peak Value" numFmtId="165">
      <sharedItems containsSemiMixedTypes="0" containsString="0" containsNumber="1" containsInteger="1" minValue="1500" maxValue="412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s v="Natarajan Hariramakrishnan"/>
    <s v="006Ui00001YL0FI"/>
    <s v="Akash Gupta"/>
    <s v="Logic Management Controller (ILMC) 20250518195717"/>
    <s v="Akash Gupta"/>
    <s v="Define"/>
    <s v="9/22/2026"/>
    <s v="Channel Opportunity (DR)"/>
    <x v="0"/>
    <s v="BHARAT ELECTRONICS LIMITED"/>
    <s v="AP-INDIA"/>
    <s v="Focused"/>
    <s v="5/18/2025"/>
    <s v="11/24/2027"/>
    <n v="0.25"/>
    <s v="Defense"/>
    <s v="Macnica Cytech Pte Ltd."/>
    <s v="MAX® 10 FPGA 10M08 (M153)"/>
    <s v="MAX® 10 FPGA 10M08 (M153) 10M08SCM153I7G"/>
    <n v="80000"/>
  </r>
  <r>
    <s v="Natarajan Hariramakrishnan"/>
    <s v="006Ui00001jbJdy"/>
    <s v=""/>
    <s v="Control Unit for Integrated Traffic Management System 20250924014439"/>
    <s v="Akash Gupta"/>
    <s v="Develop"/>
    <s v="10/30/2026"/>
    <s v="Channel Opportunity (DR)"/>
    <x v="0"/>
    <s v="BHARAT ELECTRONICS LIMITED"/>
    <s v="AP-INDIA"/>
    <s v="Focused"/>
    <s v="9/24/2025"/>
    <s v="11/24/2028"/>
    <n v="0.5"/>
    <s v="Industrial"/>
    <s v="Macnica Cytech Pte Ltd."/>
    <s v="Agilex™ 5 FPGA E-Series 065B (B32A)"/>
    <s v="Agilex™ 5 FPGA E-Series 065B (B32A) A5ED065BB32AI6S"/>
    <n v="450000"/>
  </r>
  <r>
    <s v="Natarajan Hariramakrishnan"/>
    <s v="006Ui00001jbJdy"/>
    <s v=""/>
    <s v="Control Unit for Integrated Traffic Management System 20250924014439"/>
    <s v="Akash Gupta"/>
    <s v="Develop"/>
    <s v="10/30/2026"/>
    <s v="Channel Opportunity (DR)"/>
    <x v="0"/>
    <s v="BHARAT ELECTRONICS LIMITED"/>
    <s v="AP-INDIA"/>
    <s v="Focused"/>
    <s v="9/24/2025"/>
    <s v="11/24/2028"/>
    <n v="0.5"/>
    <s v="Industrial"/>
    <s v="Macnica Cytech Pte Ltd."/>
    <s v="Agilex™ 5 FPGA E-Series 065B (B32A)"/>
    <s v="Agilex™ 5 FPGA E-Series 065B (B32A) A5ED065BB32AE6SR0"/>
    <n v="1500"/>
  </r>
  <r>
    <s v="Natarajan Hariramakrishnan"/>
    <s v="006Ui000025viN1"/>
    <s v=""/>
    <s v="XMC based Quad 10G Card"/>
    <s v="Akash Gupta"/>
    <s v="Define"/>
    <s v="10/30/2026"/>
    <s v="Channel Opportunity (DR)"/>
    <x v="0"/>
    <s v="BHARAT ELECTRONICS LIMITED"/>
    <s v="AP-INDIA"/>
    <s v="Focused"/>
    <s v="2/4/2026"/>
    <s v="10/19/2027"/>
    <n v="0.25"/>
    <s v="Industrial"/>
    <s v="Macnica Cytech Pte Ltd."/>
    <s v="Agilex™ 7 FPGA F-Series 006 (R16A)"/>
    <s v="Agilex™ 7 FPGA F-Series 006 (R16A) AGFA006R16A2I2V"/>
    <n v="1500000"/>
  </r>
  <r>
    <s v="Natarajan Hariramakrishnan"/>
    <s v="006Ui00001YKvxw"/>
    <s v="Mayank Pandey"/>
    <s v="SMART messaging"/>
    <s v="Mayank Pandey"/>
    <s v="Develop"/>
    <s v="9/18/2026"/>
    <s v="Channel Opportunity (DR)"/>
    <x v="0"/>
    <s v="BHARAT ELECTRONICS LIMITED"/>
    <s v="AP-INDIA"/>
    <s v="Focused"/>
    <s v="6/4/2023"/>
    <s v="5/21/2028"/>
    <n v="0.5"/>
    <s v="Defense"/>
    <s v="Arrow Electronics India Pvt. Ltd."/>
    <s v="MAX® 10 FPGA 10M16 (F256)"/>
    <s v="MAX® 10 FPGA 10M16 (F256) 10M16DAF256I7G"/>
    <n v="53500"/>
  </r>
  <r>
    <s v="Natarajan Hariramakrishnan"/>
    <s v="006Ui00001YKvxw"/>
    <s v="Mayank Pandey"/>
    <s v="SMART messaging"/>
    <s v="Mayank Pandey"/>
    <s v="Develop"/>
    <s v="9/18/2026"/>
    <s v="Channel Opportunity (DR)"/>
    <x v="0"/>
    <s v="BHARAT ELECTRONICS LIMITED"/>
    <s v="AP-INDIA"/>
    <s v="Focused"/>
    <s v="6/4/2023"/>
    <s v="5/21/2028"/>
    <n v="0.5"/>
    <s v="Defense"/>
    <s v="Arrow Electronics India Pvt. Ltd."/>
    <s v="MAX® 10 FPGA 10M50 (F484)"/>
    <s v="MAX® 10 FPGA 10M50 (F484) 10M50DAF484I7G"/>
    <n v="53500"/>
  </r>
  <r>
    <s v="Natarajan Hariramakrishnan"/>
    <s v="006Ui00001YL5Cf"/>
    <s v="Akash Gupta"/>
    <s v="GigaLink Card 20240724213152"/>
    <s v="Akash Gupta"/>
    <s v="Define"/>
    <s v="10/21/2026"/>
    <s v="Channel Opportunity (DR)"/>
    <x v="0"/>
    <s v="BHARAT ELECTRONICS LIMITED"/>
    <s v="AP-INDIA"/>
    <s v="Focused"/>
    <s v="7/24/2024"/>
    <s v="1/12/2027"/>
    <n v="0.15"/>
    <s v="Industrial"/>
    <s v="Macnica Cytech Pte Ltd."/>
    <s v="Cyclone® IV GX FPGA EP4CGX75 (F27)"/>
    <s v="Cyclone® IV GX FPGA EP4CGX75 (F27) EP4CGX75DF27I7N"/>
    <n v="64200"/>
  </r>
  <r>
    <s v="Natarajan Hariramakrishnan"/>
    <s v="006Ui00001YL5Cg"/>
    <s v="Akash Gupta"/>
    <s v="IPGateway Card for TCS Project 20240725090407"/>
    <s v="Akash Gupta"/>
    <s v="Define"/>
    <s v="8/11/2026"/>
    <s v="Channel Opportunity (DR)"/>
    <x v="0"/>
    <s v="BHARAT ELECTRONICS LIMITED"/>
    <s v="AP-INDIA"/>
    <s v="Focused"/>
    <s v="7/25/2024"/>
    <s v="3/30/2027"/>
    <n v="0.15"/>
    <s v="Industrial"/>
    <s v="Macnica Cytech Pte Ltd."/>
    <s v="Agilex™ 5 FPGA E-Series 065B (B32A)"/>
    <s v="Agilex™ 5 FPGA E-Series 065B (B32A) A5ED065BB32AE4SR0"/>
    <n v="120000"/>
  </r>
  <r>
    <s v="Natarajan Hariramakrishnan"/>
    <s v="006Ui00001e2bC1"/>
    <s v=""/>
    <s v="DVI TX RX Card 20250821062728"/>
    <s v="Rajesh Puranik"/>
    <s v="Define"/>
    <s v="10/28/2026"/>
    <s v="Channel Opportunity (DR)"/>
    <x v="0"/>
    <s v="BHARAT ELECTRONICS LIMITED"/>
    <s v="AP-INDIA"/>
    <s v="Focused"/>
    <s v="8/21/2025"/>
    <s v="1/13/2027"/>
    <n v="0.25"/>
    <s v="Defense"/>
    <s v="Macnica Cytech Pte Ltd."/>
    <s v="Arria® V GX FPGA 5AGXA3 (F31)"/>
    <s v="Arria® V GX FPGA 5AGXA3 (F31) 5AGXBA3D4F31I5G"/>
    <n v="27500"/>
  </r>
  <r>
    <s v="Natarajan Hariramakrishnan"/>
    <s v="006Ui00001vDMxT"/>
    <s v=""/>
    <s v="QTRM(Quad transmitter Receiver Module)  Cluster Controller 20251202082502"/>
    <s v="Akash Gupta"/>
    <s v="Design"/>
    <s v="10/13/2026"/>
    <s v="Channel Opportunity (DR)"/>
    <x v="0"/>
    <s v="BHARAT ELECTRONICS LIMITED"/>
    <s v="AP-INDIA"/>
    <s v="Focused"/>
    <s v="12/2/2025"/>
    <s v="6/21/2027"/>
    <n v="0.75"/>
    <s v="Defense"/>
    <s v="Macnica Cytech Pte Ltd."/>
    <s v="Arria® 10 SX FPGA 10AS048 (F34)"/>
    <s v="Arria® 10 SX FPGA 10AS048 (F34) 10AS048H3F34I2SG"/>
    <n v="1000000"/>
  </r>
  <r>
    <s v="Natarajan Hariramakrishnan"/>
    <s v="006Ui00002M2mm3"/>
    <s v=""/>
    <s v="LINK4_Encryption card 20260427103023"/>
    <s v="sumanth Raju"/>
    <s v="Define"/>
    <s v="10/23/2026"/>
    <s v="Channel Opportunity (DR)"/>
    <x v="0"/>
    <s v="BHARAT ELECTRONICS LIMITED"/>
    <s v="AP-INDIA"/>
    <s v="Focused"/>
    <s v="4/27/2026"/>
    <s v="10/17/2027"/>
    <n v="0.25"/>
    <s v="Industrial"/>
    <s v="Macnica Cytech Pte Ltd."/>
    <s v="Cyclone® 10 GX FPGA 10CX105 (F780)"/>
    <s v="Cyclone® 10 GX FPGA 10CX105 (F780) 10CX105YF780I6G"/>
    <n v="404000"/>
  </r>
  <r>
    <s v="Natarajan Hariramakrishnan"/>
    <s v="006Ui00001bILRZ"/>
    <s v=""/>
    <s v="WLR control card 20250805010133"/>
    <s v="sumanth Raju"/>
    <s v="Define"/>
    <s v="10/14/2026"/>
    <s v="Channel Opportunity (DR)"/>
    <x v="0"/>
    <s v="BHARATH ELECTRONICS LIMITED"/>
    <s v="AP-INDIA"/>
    <s v="Focused"/>
    <s v="8/5/2025"/>
    <s v="6/18/2028"/>
    <n v="0.25"/>
    <s v="Government"/>
    <s v="Macnica Cytech Pte Ltd."/>
    <s v="Cyclone® V E FPGA 5CEA4 (F17)"/>
    <s v="Cyclone® V E FPGA 5CEA4 (F17) 5CEBA4F17I7N"/>
    <n v="375000"/>
  </r>
  <r>
    <s v="Narasimhan Renganathan"/>
    <s v="006Ui00001rc8Yb"/>
    <s v="Kasturi Rangan"/>
    <s v="8300_SW Platform"/>
    <s v=""/>
    <s v="Define"/>
    <s v="8/8/2026"/>
    <s v="Altera Opportunity"/>
    <x v="1"/>
    <s v="CIENA INDIA PVT LTD"/>
    <s v="AP-INDIA"/>
    <s v="Major"/>
    <s v="11/11/2025"/>
    <s v="1/15/2027"/>
    <n v="0.25"/>
    <s v="Networking and Data Center OEM (IHV, ISV, SI, VAR)"/>
    <s v=""/>
    <s v="MAX® 10 FPGA 10M08 (U169)"/>
    <s v="MAX® 10 FPGA 10M08 (U169) 10M08SAU169I7G"/>
    <n v="127500"/>
  </r>
  <r>
    <s v="Natarajan Hariramakrishnan"/>
    <s v="006Ui00001YL1gQ"/>
    <s v="Mayank Pandey"/>
    <s v="Next version UAV communication 20250622234159"/>
    <s v="Mayank Pandey"/>
    <s v="Define"/>
    <s v="9/10/2026"/>
    <s v="Channel Opportunity (DR)"/>
    <x v="2"/>
    <s v="DEFENCE ELECTRONICS APPLICATION LABORATORY (DEAL) - DRDO"/>
    <s v="AP-INDIA"/>
    <s v="Focused"/>
    <s v="6/22/2025"/>
    <s v="11/6/2026"/>
    <n v="0.15"/>
    <s v="Defense"/>
    <s v="Arrow Electronics India Pvt. Ltd."/>
    <s v="Cyclone® V SE FPGA 5CSEA5 (F31)"/>
    <s v="Cyclone® V SE FPGA 5CSEA5 (F31) 5CSEMA5F31A7N"/>
    <n v="500000"/>
  </r>
  <r>
    <s v="Natarajan Hariramakrishnan"/>
    <s v="006Ui00001ciVhd"/>
    <s v=""/>
    <s v="Handheld Radio 20250814020529"/>
    <s v="Mayank Pandey"/>
    <s v="Define"/>
    <s v="10/15/2026"/>
    <s v="Channel Opportunity (DR)"/>
    <x v="2"/>
    <s v="DEFENCE ELECTRONICS APPLICATION LABORATORY (DEAL) - DRDO"/>
    <s v="AP-INDIA"/>
    <s v="Focused"/>
    <s v="8/14/2025"/>
    <s v="12/11/2027"/>
    <n v="0.25"/>
    <s v="Defense"/>
    <s v="Arrow Electronics India Pvt. Ltd."/>
    <s v="Agilex™ 3 FPGA C-Series 135 (M16A)"/>
    <s v="Agilex™ 3 FPGA C-Series 135 (M16A) A3CY135BM16AI6S"/>
    <n v="750000"/>
  </r>
  <r>
    <s v="Natarajan Hariramakrishnan"/>
    <s v="006Ui00001nYfqP"/>
    <s v=""/>
    <s v="Virupaksha Radar 20251017085536"/>
    <s v="Prasad Chalicheemala"/>
    <s v="Define"/>
    <s v="10/17/2026"/>
    <s v="Channel Opportunity (DR)"/>
    <x v="3"/>
    <s v="LRDE/DRDO"/>
    <s v="AP-INDIA"/>
    <s v="Focused"/>
    <s v="10/17/2025"/>
    <s v="8/6/2028"/>
    <n v="0.25"/>
    <s v="Defense"/>
    <s v="Macnica Cytech Pte Ltd."/>
    <s v="Agilex™ 7 FPGA F-Series 027 (R24C)"/>
    <s v="Agilex™ 7 FPGA F-Series 027 (R24C) AGFB027R24C2I3V"/>
    <n v="2250000"/>
  </r>
  <r>
    <s v="Natarajan Hariramakrishnan"/>
    <s v="006Ui00001YKyg7"/>
    <s v="amolkumar sakhare"/>
    <s v="Radar Timing Generation Unit for BFSR new ver (Battle Field Surveillance Radar)"/>
    <s v="Amolkumar Sakhare"/>
    <s v="Define"/>
    <s v="10/17/2026"/>
    <s v="Channel Opportunity (DR)"/>
    <x v="3"/>
    <s v="ELECTRONICS RADAR DEVELOPMENT AND ESTABLISHMENT"/>
    <s v="AP-INDIA"/>
    <s v="Focused"/>
    <s v="1/5/2024"/>
    <s v="10/20/2027"/>
    <n v="0.15"/>
    <s v="Defense"/>
    <s v="Arrow Electronics India Pvt. Ltd."/>
    <s v="Arria® 10 SX FPGA 10AS048 (F34)"/>
    <s v="Arria® 10 SX FPGA 10AS048 (F34) 10AS048H3F34I2SG"/>
    <n v="385000"/>
  </r>
  <r>
    <s v="Natarajan Hariramakrishnan"/>
    <s v="006Ui00001YKygN"/>
    <s v="Prasad Chalicheemala"/>
    <s v="Harmonic radar 20240625065537"/>
    <s v="Prasad Chalicheemala"/>
    <s v="Define"/>
    <s v="8/14/2026"/>
    <s v="Channel Opportunity (DR)"/>
    <x v="3"/>
    <s v="ELECTRONICS RADAR DEVELOPMENT AND ESTABLISHMENT"/>
    <s v="AP-INDIA"/>
    <s v="Focused"/>
    <s v="6/25/2024"/>
    <s v="10/23/2027"/>
    <n v="0.15"/>
    <s v="Defense"/>
    <s v="Macnica Cytech Pte Ltd."/>
    <s v="Agilex™ 7 FPGA F-Series 027 (R31C)"/>
    <s v="Agilex™ 7 FPGA F-Series 027 (R31C) AGFB027R31C2I3V"/>
    <n v="1947000"/>
  </r>
  <r>
    <s v="Natarajan Hariramakrishnan"/>
    <s v="006Ui00001s7kCz"/>
    <s v=""/>
    <s v="S-Band Octal Digital Transmit and Receive Module"/>
    <s v="Prasad Chalicheemala"/>
    <s v="Develop"/>
    <s v="10/9/2026"/>
    <s v="Channel Opportunity (DR)"/>
    <x v="3"/>
    <s v="ELECTRONICS RADAR DEVELOPMENT AND ESTABLISHMENT"/>
    <s v="AP-INDIA"/>
    <s v="Focused"/>
    <s v="11/13/2025"/>
    <s v="7/27/2029"/>
    <n v="0.5"/>
    <s v="Defense"/>
    <s v="Macnica Cytech Pte Ltd."/>
    <s v="Agilex™ 7 FPGA F-Series 027 (R31C)"/>
    <s v="Agilex™ 7 FPGA F-Series 027 (R31C) AGFB027R31C2I3V"/>
    <n v="3050000"/>
  </r>
  <r>
    <s v="Narasimhan Renganathan"/>
    <s v="006Ui00001YKvBq"/>
    <s v="amolkumar sakhare"/>
    <s v="Modem Board - Communication Modbus 20250429203700"/>
    <s v="Mayank Pandey"/>
    <s v="Develop"/>
    <s v="10/25/2026"/>
    <s v="Channel Opportunity (DR)"/>
    <x v="4"/>
    <s v="EMERSON INNOVATION CENTER - PUNE"/>
    <s v="AP-INDIA"/>
    <s v="Emerging"/>
    <s v="4/29/2025"/>
    <s v="9/15/2027"/>
    <n v="0.5"/>
    <s v="Industrial"/>
    <s v="Arrow Electronics India Pvt. Ltd."/>
    <s v="MAX® V CPLD 5M160Z"/>
    <s v="MAX® V CPLD 5M160Z 5M160ZE64I5N"/>
    <n v="24000"/>
  </r>
  <r>
    <s v="Natarajan Hariramakrishnan"/>
    <s v="006Ui00001rx0cr"/>
    <s v=""/>
    <s v="digital I/O module 20251112193233"/>
    <s v="Mayank Pandey"/>
    <s v="Develop"/>
    <s v="9/1/2026"/>
    <s v="Channel Opportunity (DR)"/>
    <x v="4"/>
    <s v="EMERSON INNOVATION CENTER - PUNE"/>
    <s v="AP-INDIA"/>
    <s v="Emerging"/>
    <s v="11/12/2025"/>
    <s v="12/6/2026"/>
    <n v="0.5"/>
    <s v="Industrial"/>
    <s v="Arrow Electronics India Pvt. Ltd."/>
    <s v="MAX® V CPLD 5M80Z"/>
    <s v="MAX® V CPLD 5M80Z 5M80ZT100I5N"/>
    <n v="25000"/>
  </r>
  <r>
    <s v="Natarajan Hariramakrishnan"/>
    <s v="006Ui00001rx0cr"/>
    <s v=""/>
    <s v="digital I/O module 20251112193233"/>
    <s v="Mayank Pandey"/>
    <s v="Develop"/>
    <s v="9/1/2026"/>
    <s v="Channel Opportunity (DR)"/>
    <x v="4"/>
    <s v="EMERSON INNOVATION CENTER - PUNE"/>
    <s v="AP-INDIA"/>
    <s v="Emerging"/>
    <s v="11/12/2025"/>
    <s v="12/6/2026"/>
    <n v="0.5"/>
    <s v="Industrial"/>
    <s v="Arrow Electronics India Pvt. Ltd."/>
    <s v="MAX® V CPLD 5M240Z"/>
    <s v="MAX® V CPLD 5M240Z 5M240ZT144I5N"/>
    <n v="30000"/>
  </r>
  <r>
    <s v="Narasimhan Renganathan"/>
    <s v="006Ui00001cftdL"/>
    <s v="Sahil Patni"/>
    <s v="Intelligent Sense _Response Solution_AI"/>
    <s v=""/>
    <s v="Define"/>
    <s v="10/21/2026"/>
    <s v="Altera Opportunity"/>
    <x v="5"/>
    <s v="Outdu Mediatech Private Limited"/>
    <s v="AP-INDIA"/>
    <s v="Focused"/>
    <s v="8/13/2025"/>
    <s v="10/19/2027"/>
    <n v="0.25"/>
    <s v="Broadcast"/>
    <s v=""/>
    <s v="Agilex™ 5 FPGA D-Series 064 (B32B)"/>
    <s v="Agilex™ 5 FPGA D-Series 064 (B32B) A5DD064AB32BI2V"/>
    <n v="4125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ECA724-FA02-46F4-8AAE-5979037F6AF9}" name="PivotTable2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20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7">
        <item x="0"/>
        <item x="1"/>
        <item x="2"/>
        <item x="3"/>
        <item x="4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164" showAll="0"/>
    <pivotField showAll="0"/>
    <pivotField showAll="0"/>
    <pivotField showAll="0"/>
    <pivotField showAll="0"/>
    <pivotField dataField="1" numFmtId="165" showAll="0"/>
  </pivotFields>
  <rowFields count="1">
    <field x="8"/>
  </rowFields>
  <rowItems count="7">
    <i>
      <x v="3"/>
    </i>
    <i>
      <x/>
    </i>
    <i>
      <x v="5"/>
    </i>
    <i>
      <x v="2"/>
    </i>
    <i>
      <x v="1"/>
    </i>
    <i>
      <x v="4"/>
    </i>
    <i t="grand">
      <x/>
    </i>
  </rowItems>
  <colItems count="1">
    <i/>
  </colItems>
  <dataFields count="1">
    <dataField name="Sum of Peak Value" fld="19" baseField="0" baseItem="0" numFmtId="165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BEE33C-5D2A-4BC8-A967-C326F4FBD8C8}">
  <dimension ref="A3:B10"/>
  <sheetViews>
    <sheetView tabSelected="1" workbookViewId="0">
      <selection activeCell="B6" sqref="B6"/>
    </sheetView>
  </sheetViews>
  <sheetFormatPr defaultRowHeight="14.25" x14ac:dyDescent="0.45"/>
  <cols>
    <col min="1" max="1" width="32.3984375" bestFit="1" customWidth="1"/>
    <col min="2" max="2" width="15.46484375" bestFit="1" customWidth="1"/>
  </cols>
  <sheetData>
    <row r="3" spans="1:2" x14ac:dyDescent="0.45">
      <c r="A3" s="5" t="s">
        <v>198</v>
      </c>
      <c r="B3" t="s">
        <v>200</v>
      </c>
    </row>
    <row r="4" spans="1:2" x14ac:dyDescent="0.45">
      <c r="A4" s="6" t="s">
        <v>145</v>
      </c>
      <c r="B4" s="7">
        <v>7632000</v>
      </c>
    </row>
    <row r="5" spans="1:2" x14ac:dyDescent="0.45">
      <c r="A5" s="6" t="s">
        <v>27</v>
      </c>
      <c r="B5" s="7">
        <v>4129200</v>
      </c>
    </row>
    <row r="6" spans="1:2" x14ac:dyDescent="0.45">
      <c r="A6" s="6" t="s">
        <v>192</v>
      </c>
      <c r="B6" s="7">
        <v>4125000</v>
      </c>
    </row>
    <row r="7" spans="1:2" x14ac:dyDescent="0.45">
      <c r="A7" s="6" t="s">
        <v>128</v>
      </c>
      <c r="B7" s="7">
        <v>1250000</v>
      </c>
    </row>
    <row r="8" spans="1:2" x14ac:dyDescent="0.45">
      <c r="A8" s="6" t="s">
        <v>117</v>
      </c>
      <c r="B8" s="7">
        <v>127500</v>
      </c>
    </row>
    <row r="9" spans="1:2" x14ac:dyDescent="0.45">
      <c r="A9" s="6" t="s">
        <v>173</v>
      </c>
      <c r="B9" s="7">
        <v>79000</v>
      </c>
    </row>
    <row r="10" spans="1:2" x14ac:dyDescent="0.45">
      <c r="A10" s="6" t="s">
        <v>199</v>
      </c>
      <c r="B10" s="7">
        <v>17342700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"/>
  <sheetViews>
    <sheetView topLeftCell="A14" workbookViewId="0">
      <selection activeCell="G6" sqref="G6"/>
    </sheetView>
  </sheetViews>
  <sheetFormatPr defaultRowHeight="14.25" x14ac:dyDescent="0.45"/>
  <cols>
    <col min="1" max="1" width="28" customWidth="1"/>
    <col min="2" max="2" width="17" customWidth="1"/>
    <col min="3" max="3" width="22" customWidth="1"/>
    <col min="4" max="4" width="81" customWidth="1"/>
    <col min="5" max="5" width="22" customWidth="1"/>
    <col min="6" max="6" width="19" customWidth="1"/>
    <col min="7" max="7" width="17" customWidth="1"/>
    <col min="8" max="8" width="26" customWidth="1"/>
    <col min="9" max="9" width="35" customWidth="1"/>
    <col min="10" max="10" width="58" customWidth="1"/>
    <col min="11" max="11" width="25" customWidth="1"/>
    <col min="12" max="12" width="16" customWidth="1"/>
    <col min="13" max="13" width="14" customWidth="1"/>
    <col min="14" max="14" width="23" customWidth="1"/>
    <col min="15" max="15" width="17" customWidth="1"/>
    <col min="16" max="16" width="52" customWidth="1"/>
    <col min="17" max="17" width="35" customWidth="1"/>
    <col min="18" max="18" width="37" customWidth="1"/>
    <col min="19" max="19" width="55" customWidth="1"/>
    <col min="20" max="20" width="16" customWidth="1"/>
  </cols>
  <sheetData>
    <row r="1" spans="1:20" ht="15.75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.75" x14ac:dyDescent="0.5">
      <c r="A2" s="2" t="s">
        <v>20</v>
      </c>
      <c r="B2" s="2" t="s">
        <v>21</v>
      </c>
      <c r="C2" s="2" t="s">
        <v>22</v>
      </c>
      <c r="D2" s="2" t="s">
        <v>23</v>
      </c>
      <c r="E2" s="2" t="s">
        <v>22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3">
        <v>0.25</v>
      </c>
      <c r="P2" s="2" t="s">
        <v>33</v>
      </c>
      <c r="Q2" s="2" t="s">
        <v>34</v>
      </c>
      <c r="R2" s="2" t="s">
        <v>35</v>
      </c>
      <c r="S2" s="2" t="s">
        <v>36</v>
      </c>
      <c r="T2" s="4">
        <v>80000</v>
      </c>
    </row>
    <row r="3" spans="1:20" ht="15.75" x14ac:dyDescent="0.5">
      <c r="A3" s="2" t="s">
        <v>20</v>
      </c>
      <c r="B3" s="2" t="s">
        <v>37</v>
      </c>
      <c r="C3" s="2" t="s">
        <v>38</v>
      </c>
      <c r="D3" s="2" t="s">
        <v>39</v>
      </c>
      <c r="E3" s="2" t="s">
        <v>22</v>
      </c>
      <c r="F3" s="2" t="s">
        <v>40</v>
      </c>
      <c r="G3" s="2" t="s">
        <v>41</v>
      </c>
      <c r="H3" s="2" t="s">
        <v>26</v>
      </c>
      <c r="I3" s="2" t="s">
        <v>27</v>
      </c>
      <c r="J3" s="2" t="s">
        <v>28</v>
      </c>
      <c r="K3" s="2" t="s">
        <v>29</v>
      </c>
      <c r="L3" s="2" t="s">
        <v>30</v>
      </c>
      <c r="M3" s="2" t="s">
        <v>42</v>
      </c>
      <c r="N3" s="2" t="s">
        <v>43</v>
      </c>
      <c r="O3" s="3">
        <v>0.5</v>
      </c>
      <c r="P3" s="2" t="s">
        <v>44</v>
      </c>
      <c r="Q3" s="2" t="s">
        <v>34</v>
      </c>
      <c r="R3" s="2" t="s">
        <v>45</v>
      </c>
      <c r="S3" s="2" t="s">
        <v>46</v>
      </c>
      <c r="T3" s="4">
        <v>450000</v>
      </c>
    </row>
    <row r="4" spans="1:20" ht="15.75" x14ac:dyDescent="0.5">
      <c r="A4" s="2" t="s">
        <v>20</v>
      </c>
      <c r="B4" s="2" t="s">
        <v>37</v>
      </c>
      <c r="C4" s="2" t="s">
        <v>38</v>
      </c>
      <c r="D4" s="2" t="s">
        <v>39</v>
      </c>
      <c r="E4" s="2" t="s">
        <v>22</v>
      </c>
      <c r="F4" s="2" t="s">
        <v>40</v>
      </c>
      <c r="G4" s="2" t="s">
        <v>41</v>
      </c>
      <c r="H4" s="2" t="s">
        <v>26</v>
      </c>
      <c r="I4" s="2" t="s">
        <v>27</v>
      </c>
      <c r="J4" s="2" t="s">
        <v>28</v>
      </c>
      <c r="K4" s="2" t="s">
        <v>29</v>
      </c>
      <c r="L4" s="2" t="s">
        <v>30</v>
      </c>
      <c r="M4" s="2" t="s">
        <v>42</v>
      </c>
      <c r="N4" s="2" t="s">
        <v>43</v>
      </c>
      <c r="O4" s="3">
        <v>0.5</v>
      </c>
      <c r="P4" s="2" t="s">
        <v>44</v>
      </c>
      <c r="Q4" s="2" t="s">
        <v>34</v>
      </c>
      <c r="R4" s="2" t="s">
        <v>45</v>
      </c>
      <c r="S4" s="2" t="s">
        <v>47</v>
      </c>
      <c r="T4" s="4">
        <v>1500</v>
      </c>
    </row>
    <row r="5" spans="1:20" ht="15.75" x14ac:dyDescent="0.5">
      <c r="A5" s="2" t="s">
        <v>20</v>
      </c>
      <c r="B5" s="2" t="s">
        <v>48</v>
      </c>
      <c r="C5" s="2" t="s">
        <v>38</v>
      </c>
      <c r="D5" s="2" t="s">
        <v>49</v>
      </c>
      <c r="E5" s="2" t="s">
        <v>22</v>
      </c>
      <c r="F5" s="2" t="s">
        <v>24</v>
      </c>
      <c r="G5" s="2" t="s">
        <v>41</v>
      </c>
      <c r="H5" s="2" t="s">
        <v>26</v>
      </c>
      <c r="I5" s="2" t="s">
        <v>27</v>
      </c>
      <c r="J5" s="2" t="s">
        <v>28</v>
      </c>
      <c r="K5" s="2" t="s">
        <v>29</v>
      </c>
      <c r="L5" s="2" t="s">
        <v>30</v>
      </c>
      <c r="M5" s="2" t="s">
        <v>50</v>
      </c>
      <c r="N5" s="2" t="s">
        <v>51</v>
      </c>
      <c r="O5" s="3">
        <v>0.25</v>
      </c>
      <c r="P5" s="2" t="s">
        <v>44</v>
      </c>
      <c r="Q5" s="2" t="s">
        <v>34</v>
      </c>
      <c r="R5" s="2" t="s">
        <v>52</v>
      </c>
      <c r="S5" s="2" t="s">
        <v>53</v>
      </c>
      <c r="T5" s="4">
        <v>1500000</v>
      </c>
    </row>
    <row r="6" spans="1:20" ht="15.75" x14ac:dyDescent="0.5">
      <c r="A6" s="2" t="s">
        <v>20</v>
      </c>
      <c r="B6" s="2" t="s">
        <v>54</v>
      </c>
      <c r="C6" s="2" t="s">
        <v>55</v>
      </c>
      <c r="D6" s="2" t="s">
        <v>56</v>
      </c>
      <c r="E6" s="2" t="s">
        <v>55</v>
      </c>
      <c r="F6" s="2" t="s">
        <v>40</v>
      </c>
      <c r="G6" s="2" t="s">
        <v>57</v>
      </c>
      <c r="H6" s="2" t="s">
        <v>26</v>
      </c>
      <c r="I6" s="2" t="s">
        <v>27</v>
      </c>
      <c r="J6" s="2" t="s">
        <v>28</v>
      </c>
      <c r="K6" s="2" t="s">
        <v>29</v>
      </c>
      <c r="L6" s="2" t="s">
        <v>30</v>
      </c>
      <c r="M6" s="2" t="s">
        <v>58</v>
      </c>
      <c r="N6" s="2" t="s">
        <v>59</v>
      </c>
      <c r="O6" s="3">
        <v>0.5</v>
      </c>
      <c r="P6" s="2" t="s">
        <v>33</v>
      </c>
      <c r="Q6" s="2" t="s">
        <v>60</v>
      </c>
      <c r="R6" s="2" t="s">
        <v>61</v>
      </c>
      <c r="S6" s="2" t="s">
        <v>62</v>
      </c>
      <c r="T6" s="4">
        <v>53500</v>
      </c>
    </row>
    <row r="7" spans="1:20" ht="15.75" x14ac:dyDescent="0.5">
      <c r="A7" s="2" t="s">
        <v>20</v>
      </c>
      <c r="B7" s="2" t="s">
        <v>54</v>
      </c>
      <c r="C7" s="2" t="s">
        <v>55</v>
      </c>
      <c r="D7" s="2" t="s">
        <v>56</v>
      </c>
      <c r="E7" s="2" t="s">
        <v>55</v>
      </c>
      <c r="F7" s="2" t="s">
        <v>40</v>
      </c>
      <c r="G7" s="2" t="s">
        <v>57</v>
      </c>
      <c r="H7" s="2" t="s">
        <v>26</v>
      </c>
      <c r="I7" s="2" t="s">
        <v>27</v>
      </c>
      <c r="J7" s="2" t="s">
        <v>28</v>
      </c>
      <c r="K7" s="2" t="s">
        <v>29</v>
      </c>
      <c r="L7" s="2" t="s">
        <v>30</v>
      </c>
      <c r="M7" s="2" t="s">
        <v>58</v>
      </c>
      <c r="N7" s="2" t="s">
        <v>59</v>
      </c>
      <c r="O7" s="3">
        <v>0.5</v>
      </c>
      <c r="P7" s="2" t="s">
        <v>33</v>
      </c>
      <c r="Q7" s="2" t="s">
        <v>60</v>
      </c>
      <c r="R7" s="2" t="s">
        <v>63</v>
      </c>
      <c r="S7" s="2" t="s">
        <v>64</v>
      </c>
      <c r="T7" s="4">
        <v>53500</v>
      </c>
    </row>
    <row r="8" spans="1:20" ht="15.75" x14ac:dyDescent="0.5">
      <c r="A8" s="2" t="s">
        <v>20</v>
      </c>
      <c r="B8" s="2" t="s">
        <v>65</v>
      </c>
      <c r="C8" s="2" t="s">
        <v>22</v>
      </c>
      <c r="D8" s="2" t="s">
        <v>66</v>
      </c>
      <c r="E8" s="2" t="s">
        <v>22</v>
      </c>
      <c r="F8" s="2" t="s">
        <v>24</v>
      </c>
      <c r="G8" s="2" t="s">
        <v>67</v>
      </c>
      <c r="H8" s="2" t="s">
        <v>26</v>
      </c>
      <c r="I8" s="2" t="s">
        <v>27</v>
      </c>
      <c r="J8" s="2" t="s">
        <v>28</v>
      </c>
      <c r="K8" s="2" t="s">
        <v>29</v>
      </c>
      <c r="L8" s="2" t="s">
        <v>30</v>
      </c>
      <c r="M8" s="2" t="s">
        <v>68</v>
      </c>
      <c r="N8" s="2" t="s">
        <v>69</v>
      </c>
      <c r="O8" s="3">
        <v>0.15</v>
      </c>
      <c r="P8" s="2" t="s">
        <v>44</v>
      </c>
      <c r="Q8" s="2" t="s">
        <v>34</v>
      </c>
      <c r="R8" s="2" t="s">
        <v>70</v>
      </c>
      <c r="S8" s="2" t="s">
        <v>71</v>
      </c>
      <c r="T8" s="4">
        <v>64200</v>
      </c>
    </row>
    <row r="9" spans="1:20" ht="15.75" x14ac:dyDescent="0.5">
      <c r="A9" s="2" t="s">
        <v>20</v>
      </c>
      <c r="B9" s="2" t="s">
        <v>72</v>
      </c>
      <c r="C9" s="2" t="s">
        <v>22</v>
      </c>
      <c r="D9" s="2" t="s">
        <v>73</v>
      </c>
      <c r="E9" s="2" t="s">
        <v>22</v>
      </c>
      <c r="F9" s="2" t="s">
        <v>24</v>
      </c>
      <c r="G9" s="2" t="s">
        <v>74</v>
      </c>
      <c r="H9" s="2" t="s">
        <v>26</v>
      </c>
      <c r="I9" s="2" t="s">
        <v>27</v>
      </c>
      <c r="J9" s="2" t="s">
        <v>28</v>
      </c>
      <c r="K9" s="2" t="s">
        <v>29</v>
      </c>
      <c r="L9" s="2" t="s">
        <v>30</v>
      </c>
      <c r="M9" s="2" t="s">
        <v>75</v>
      </c>
      <c r="N9" s="2" t="s">
        <v>76</v>
      </c>
      <c r="O9" s="3">
        <v>0.15</v>
      </c>
      <c r="P9" s="2" t="s">
        <v>44</v>
      </c>
      <c r="Q9" s="2" t="s">
        <v>34</v>
      </c>
      <c r="R9" s="2" t="s">
        <v>45</v>
      </c>
      <c r="S9" s="2" t="s">
        <v>77</v>
      </c>
      <c r="T9" s="4">
        <v>120000</v>
      </c>
    </row>
    <row r="10" spans="1:20" ht="15.75" x14ac:dyDescent="0.5">
      <c r="A10" s="2" t="s">
        <v>20</v>
      </c>
      <c r="B10" s="2" t="s">
        <v>78</v>
      </c>
      <c r="C10" s="2" t="s">
        <v>38</v>
      </c>
      <c r="D10" s="2" t="s">
        <v>79</v>
      </c>
      <c r="E10" s="2" t="s">
        <v>80</v>
      </c>
      <c r="F10" s="2" t="s">
        <v>24</v>
      </c>
      <c r="G10" s="2" t="s">
        <v>81</v>
      </c>
      <c r="H10" s="2" t="s">
        <v>26</v>
      </c>
      <c r="I10" s="2" t="s">
        <v>27</v>
      </c>
      <c r="J10" s="2" t="s">
        <v>28</v>
      </c>
      <c r="K10" s="2" t="s">
        <v>29</v>
      </c>
      <c r="L10" s="2" t="s">
        <v>30</v>
      </c>
      <c r="M10" s="2" t="s">
        <v>82</v>
      </c>
      <c r="N10" s="2" t="s">
        <v>83</v>
      </c>
      <c r="O10" s="3">
        <v>0.25</v>
      </c>
      <c r="P10" s="2" t="s">
        <v>33</v>
      </c>
      <c r="Q10" s="2" t="s">
        <v>34</v>
      </c>
      <c r="R10" s="2" t="s">
        <v>84</v>
      </c>
      <c r="S10" s="2" t="s">
        <v>85</v>
      </c>
      <c r="T10" s="4">
        <v>27500</v>
      </c>
    </row>
    <row r="11" spans="1:20" ht="15.75" x14ac:dyDescent="0.5">
      <c r="A11" s="2" t="s">
        <v>20</v>
      </c>
      <c r="B11" s="2" t="s">
        <v>86</v>
      </c>
      <c r="C11" s="2" t="s">
        <v>38</v>
      </c>
      <c r="D11" s="2" t="s">
        <v>87</v>
      </c>
      <c r="E11" s="2" t="s">
        <v>22</v>
      </c>
      <c r="F11" s="2" t="s">
        <v>88</v>
      </c>
      <c r="G11" s="2" t="s">
        <v>89</v>
      </c>
      <c r="H11" s="2" t="s">
        <v>26</v>
      </c>
      <c r="I11" s="2" t="s">
        <v>27</v>
      </c>
      <c r="J11" s="2" t="s">
        <v>28</v>
      </c>
      <c r="K11" s="2" t="s">
        <v>29</v>
      </c>
      <c r="L11" s="2" t="s">
        <v>30</v>
      </c>
      <c r="M11" s="2" t="s">
        <v>90</v>
      </c>
      <c r="N11" s="2" t="s">
        <v>91</v>
      </c>
      <c r="O11" s="3">
        <v>0.75</v>
      </c>
      <c r="P11" s="2" t="s">
        <v>33</v>
      </c>
      <c r="Q11" s="2" t="s">
        <v>34</v>
      </c>
      <c r="R11" s="2" t="s">
        <v>92</v>
      </c>
      <c r="S11" s="2" t="s">
        <v>93</v>
      </c>
      <c r="T11" s="4">
        <v>1000000</v>
      </c>
    </row>
    <row r="12" spans="1:20" ht="15.75" x14ac:dyDescent="0.5">
      <c r="A12" s="2" t="s">
        <v>20</v>
      </c>
      <c r="B12" s="2" t="s">
        <v>94</v>
      </c>
      <c r="C12" s="2" t="s">
        <v>38</v>
      </c>
      <c r="D12" s="2" t="s">
        <v>95</v>
      </c>
      <c r="E12" s="2" t="s">
        <v>96</v>
      </c>
      <c r="F12" s="2" t="s">
        <v>24</v>
      </c>
      <c r="G12" s="2" t="s">
        <v>97</v>
      </c>
      <c r="H12" s="2" t="s">
        <v>26</v>
      </c>
      <c r="I12" s="2" t="s">
        <v>27</v>
      </c>
      <c r="J12" s="2" t="s">
        <v>28</v>
      </c>
      <c r="K12" s="2" t="s">
        <v>29</v>
      </c>
      <c r="L12" s="2" t="s">
        <v>30</v>
      </c>
      <c r="M12" s="2" t="s">
        <v>98</v>
      </c>
      <c r="N12" s="2" t="s">
        <v>99</v>
      </c>
      <c r="O12" s="3">
        <v>0.25</v>
      </c>
      <c r="P12" s="2" t="s">
        <v>44</v>
      </c>
      <c r="Q12" s="2" t="s">
        <v>34</v>
      </c>
      <c r="R12" s="2" t="s">
        <v>100</v>
      </c>
      <c r="S12" s="2" t="s">
        <v>101</v>
      </c>
      <c r="T12" s="4">
        <v>404000</v>
      </c>
    </row>
    <row r="13" spans="1:20" ht="15.75" x14ac:dyDescent="0.5">
      <c r="A13" s="2" t="s">
        <v>20</v>
      </c>
      <c r="B13" s="2" t="s">
        <v>102</v>
      </c>
      <c r="C13" s="2" t="s">
        <v>38</v>
      </c>
      <c r="D13" s="2" t="s">
        <v>103</v>
      </c>
      <c r="E13" s="2" t="s">
        <v>96</v>
      </c>
      <c r="F13" s="2" t="s">
        <v>24</v>
      </c>
      <c r="G13" s="2" t="s">
        <v>104</v>
      </c>
      <c r="H13" s="2" t="s">
        <v>26</v>
      </c>
      <c r="I13" s="2" t="s">
        <v>27</v>
      </c>
      <c r="J13" s="2" t="s">
        <v>105</v>
      </c>
      <c r="K13" s="2" t="s">
        <v>29</v>
      </c>
      <c r="L13" s="2" t="s">
        <v>30</v>
      </c>
      <c r="M13" s="2" t="s">
        <v>106</v>
      </c>
      <c r="N13" s="2" t="s">
        <v>107</v>
      </c>
      <c r="O13" s="3">
        <v>0.25</v>
      </c>
      <c r="P13" s="2" t="s">
        <v>108</v>
      </c>
      <c r="Q13" s="2" t="s">
        <v>34</v>
      </c>
      <c r="R13" s="2" t="s">
        <v>109</v>
      </c>
      <c r="S13" s="2" t="s">
        <v>110</v>
      </c>
      <c r="T13" s="4">
        <v>375000</v>
      </c>
    </row>
    <row r="14" spans="1:20" ht="15.75" x14ac:dyDescent="0.5">
      <c r="A14" s="2" t="s">
        <v>111</v>
      </c>
      <c r="B14" s="2" t="s">
        <v>112</v>
      </c>
      <c r="C14" s="2" t="s">
        <v>113</v>
      </c>
      <c r="D14" s="2" t="s">
        <v>114</v>
      </c>
      <c r="E14" s="2" t="s">
        <v>38</v>
      </c>
      <c r="F14" s="2" t="s">
        <v>24</v>
      </c>
      <c r="G14" s="2" t="s">
        <v>115</v>
      </c>
      <c r="H14" s="2" t="s">
        <v>116</v>
      </c>
      <c r="I14" s="2" t="s">
        <v>117</v>
      </c>
      <c r="J14" s="2" t="s">
        <v>118</v>
      </c>
      <c r="K14" s="2" t="s">
        <v>29</v>
      </c>
      <c r="L14" s="2" t="s">
        <v>119</v>
      </c>
      <c r="M14" s="2" t="s">
        <v>120</v>
      </c>
      <c r="N14" s="2" t="s">
        <v>121</v>
      </c>
      <c r="O14" s="3">
        <v>0.25</v>
      </c>
      <c r="P14" s="2" t="s">
        <v>122</v>
      </c>
      <c r="Q14" s="2" t="s">
        <v>38</v>
      </c>
      <c r="R14" s="2" t="s">
        <v>123</v>
      </c>
      <c r="S14" s="2" t="s">
        <v>124</v>
      </c>
      <c r="T14" s="4">
        <v>127500</v>
      </c>
    </row>
    <row r="15" spans="1:20" ht="15.75" x14ac:dyDescent="0.5">
      <c r="A15" s="2" t="s">
        <v>20</v>
      </c>
      <c r="B15" s="2" t="s">
        <v>125</v>
      </c>
      <c r="C15" s="2" t="s">
        <v>55</v>
      </c>
      <c r="D15" s="2" t="s">
        <v>126</v>
      </c>
      <c r="E15" s="2" t="s">
        <v>55</v>
      </c>
      <c r="F15" s="2" t="s">
        <v>24</v>
      </c>
      <c r="G15" s="2" t="s">
        <v>127</v>
      </c>
      <c r="H15" s="2" t="s">
        <v>26</v>
      </c>
      <c r="I15" s="2" t="s">
        <v>128</v>
      </c>
      <c r="J15" s="2" t="s">
        <v>129</v>
      </c>
      <c r="K15" s="2" t="s">
        <v>29</v>
      </c>
      <c r="L15" s="2" t="s">
        <v>30</v>
      </c>
      <c r="M15" s="2" t="s">
        <v>130</v>
      </c>
      <c r="N15" s="2" t="s">
        <v>131</v>
      </c>
      <c r="O15" s="3">
        <v>0.15</v>
      </c>
      <c r="P15" s="2" t="s">
        <v>33</v>
      </c>
      <c r="Q15" s="2" t="s">
        <v>60</v>
      </c>
      <c r="R15" s="2" t="s">
        <v>132</v>
      </c>
      <c r="S15" s="2" t="s">
        <v>133</v>
      </c>
      <c r="T15" s="4">
        <v>500000</v>
      </c>
    </row>
    <row r="16" spans="1:20" ht="15.75" x14ac:dyDescent="0.5">
      <c r="A16" s="2" t="s">
        <v>20</v>
      </c>
      <c r="B16" s="2" t="s">
        <v>134</v>
      </c>
      <c r="C16" s="2" t="s">
        <v>38</v>
      </c>
      <c r="D16" s="2" t="s">
        <v>135</v>
      </c>
      <c r="E16" s="2" t="s">
        <v>55</v>
      </c>
      <c r="F16" s="2" t="s">
        <v>24</v>
      </c>
      <c r="G16" s="2" t="s">
        <v>136</v>
      </c>
      <c r="H16" s="2" t="s">
        <v>26</v>
      </c>
      <c r="I16" s="2" t="s">
        <v>128</v>
      </c>
      <c r="J16" s="2" t="s">
        <v>129</v>
      </c>
      <c r="K16" s="2" t="s">
        <v>29</v>
      </c>
      <c r="L16" s="2" t="s">
        <v>30</v>
      </c>
      <c r="M16" s="2" t="s">
        <v>137</v>
      </c>
      <c r="N16" s="2" t="s">
        <v>138</v>
      </c>
      <c r="O16" s="3">
        <v>0.25</v>
      </c>
      <c r="P16" s="2" t="s">
        <v>33</v>
      </c>
      <c r="Q16" s="2" t="s">
        <v>60</v>
      </c>
      <c r="R16" s="2" t="s">
        <v>139</v>
      </c>
      <c r="S16" s="2" t="s">
        <v>140</v>
      </c>
      <c r="T16" s="4">
        <v>750000</v>
      </c>
    </row>
    <row r="17" spans="1:20" ht="15.75" x14ac:dyDescent="0.5">
      <c r="A17" s="2" t="s">
        <v>20</v>
      </c>
      <c r="B17" s="2" t="s">
        <v>141</v>
      </c>
      <c r="C17" s="2" t="s">
        <v>38</v>
      </c>
      <c r="D17" s="2" t="s">
        <v>142</v>
      </c>
      <c r="E17" s="2" t="s">
        <v>143</v>
      </c>
      <c r="F17" s="2" t="s">
        <v>24</v>
      </c>
      <c r="G17" s="2" t="s">
        <v>144</v>
      </c>
      <c r="H17" s="2" t="s">
        <v>26</v>
      </c>
      <c r="I17" s="2" t="s">
        <v>145</v>
      </c>
      <c r="J17" s="2" t="s">
        <v>146</v>
      </c>
      <c r="K17" s="2" t="s">
        <v>29</v>
      </c>
      <c r="L17" s="2" t="s">
        <v>30</v>
      </c>
      <c r="M17" s="2" t="s">
        <v>147</v>
      </c>
      <c r="N17" s="2" t="s">
        <v>148</v>
      </c>
      <c r="O17" s="3">
        <v>0.25</v>
      </c>
      <c r="P17" s="2" t="s">
        <v>33</v>
      </c>
      <c r="Q17" s="2" t="s">
        <v>34</v>
      </c>
      <c r="R17" s="2" t="s">
        <v>149</v>
      </c>
      <c r="S17" s="2" t="s">
        <v>150</v>
      </c>
      <c r="T17" s="4">
        <v>2250000</v>
      </c>
    </row>
    <row r="18" spans="1:20" ht="15.75" x14ac:dyDescent="0.5">
      <c r="A18" s="2" t="s">
        <v>20</v>
      </c>
      <c r="B18" s="2" t="s">
        <v>151</v>
      </c>
      <c r="C18" s="2" t="s">
        <v>152</v>
      </c>
      <c r="D18" s="2" t="s">
        <v>153</v>
      </c>
      <c r="E18" s="2" t="s">
        <v>154</v>
      </c>
      <c r="F18" s="2" t="s">
        <v>24</v>
      </c>
      <c r="G18" s="2" t="s">
        <v>144</v>
      </c>
      <c r="H18" s="2" t="s">
        <v>26</v>
      </c>
      <c r="I18" s="2" t="s">
        <v>145</v>
      </c>
      <c r="J18" s="2" t="s">
        <v>155</v>
      </c>
      <c r="K18" s="2" t="s">
        <v>29</v>
      </c>
      <c r="L18" s="2" t="s">
        <v>30</v>
      </c>
      <c r="M18" s="2" t="s">
        <v>156</v>
      </c>
      <c r="N18" s="2" t="s">
        <v>157</v>
      </c>
      <c r="O18" s="3">
        <v>0.15</v>
      </c>
      <c r="P18" s="2" t="s">
        <v>33</v>
      </c>
      <c r="Q18" s="2" t="s">
        <v>60</v>
      </c>
      <c r="R18" s="2" t="s">
        <v>92</v>
      </c>
      <c r="S18" s="2" t="s">
        <v>93</v>
      </c>
      <c r="T18" s="4">
        <v>385000</v>
      </c>
    </row>
    <row r="19" spans="1:20" ht="15.75" x14ac:dyDescent="0.5">
      <c r="A19" s="2" t="s">
        <v>20</v>
      </c>
      <c r="B19" s="2" t="s">
        <v>158</v>
      </c>
      <c r="C19" s="2" t="s">
        <v>143</v>
      </c>
      <c r="D19" s="2" t="s">
        <v>159</v>
      </c>
      <c r="E19" s="2" t="s">
        <v>143</v>
      </c>
      <c r="F19" s="2" t="s">
        <v>24</v>
      </c>
      <c r="G19" s="2" t="s">
        <v>160</v>
      </c>
      <c r="H19" s="2" t="s">
        <v>26</v>
      </c>
      <c r="I19" s="2" t="s">
        <v>145</v>
      </c>
      <c r="J19" s="2" t="s">
        <v>155</v>
      </c>
      <c r="K19" s="2" t="s">
        <v>29</v>
      </c>
      <c r="L19" s="2" t="s">
        <v>30</v>
      </c>
      <c r="M19" s="2" t="s">
        <v>161</v>
      </c>
      <c r="N19" s="2" t="s">
        <v>162</v>
      </c>
      <c r="O19" s="3">
        <v>0.15</v>
      </c>
      <c r="P19" s="2" t="s">
        <v>33</v>
      </c>
      <c r="Q19" s="2" t="s">
        <v>34</v>
      </c>
      <c r="R19" s="2" t="s">
        <v>163</v>
      </c>
      <c r="S19" s="2" t="s">
        <v>164</v>
      </c>
      <c r="T19" s="4">
        <v>1947000</v>
      </c>
    </row>
    <row r="20" spans="1:20" ht="15.75" x14ac:dyDescent="0.5">
      <c r="A20" s="2" t="s">
        <v>20</v>
      </c>
      <c r="B20" s="2" t="s">
        <v>165</v>
      </c>
      <c r="C20" s="2" t="s">
        <v>38</v>
      </c>
      <c r="D20" s="2" t="s">
        <v>166</v>
      </c>
      <c r="E20" s="2" t="s">
        <v>143</v>
      </c>
      <c r="F20" s="2" t="s">
        <v>40</v>
      </c>
      <c r="G20" s="2" t="s">
        <v>167</v>
      </c>
      <c r="H20" s="2" t="s">
        <v>26</v>
      </c>
      <c r="I20" s="2" t="s">
        <v>145</v>
      </c>
      <c r="J20" s="2" t="s">
        <v>155</v>
      </c>
      <c r="K20" s="2" t="s">
        <v>29</v>
      </c>
      <c r="L20" s="2" t="s">
        <v>30</v>
      </c>
      <c r="M20" s="2" t="s">
        <v>168</v>
      </c>
      <c r="N20" s="2" t="s">
        <v>169</v>
      </c>
      <c r="O20" s="3">
        <v>0.5</v>
      </c>
      <c r="P20" s="2" t="s">
        <v>33</v>
      </c>
      <c r="Q20" s="2" t="s">
        <v>34</v>
      </c>
      <c r="R20" s="2" t="s">
        <v>163</v>
      </c>
      <c r="S20" s="2" t="s">
        <v>164</v>
      </c>
      <c r="T20" s="4">
        <v>3050000</v>
      </c>
    </row>
    <row r="21" spans="1:20" ht="15.75" x14ac:dyDescent="0.5">
      <c r="A21" s="2" t="s">
        <v>111</v>
      </c>
      <c r="B21" s="2" t="s">
        <v>170</v>
      </c>
      <c r="C21" s="2" t="s">
        <v>152</v>
      </c>
      <c r="D21" s="2" t="s">
        <v>171</v>
      </c>
      <c r="E21" s="2" t="s">
        <v>55</v>
      </c>
      <c r="F21" s="2" t="s">
        <v>40</v>
      </c>
      <c r="G21" s="2" t="s">
        <v>172</v>
      </c>
      <c r="H21" s="2" t="s">
        <v>26</v>
      </c>
      <c r="I21" s="2" t="s">
        <v>173</v>
      </c>
      <c r="J21" s="2" t="s">
        <v>174</v>
      </c>
      <c r="K21" s="2" t="s">
        <v>29</v>
      </c>
      <c r="L21" s="2" t="s">
        <v>175</v>
      </c>
      <c r="M21" s="2" t="s">
        <v>176</v>
      </c>
      <c r="N21" s="2" t="s">
        <v>177</v>
      </c>
      <c r="O21" s="3">
        <v>0.5</v>
      </c>
      <c r="P21" s="2" t="s">
        <v>44</v>
      </c>
      <c r="Q21" s="2" t="s">
        <v>60</v>
      </c>
      <c r="R21" s="2" t="s">
        <v>178</v>
      </c>
      <c r="S21" s="2" t="s">
        <v>179</v>
      </c>
      <c r="T21" s="4">
        <v>24000</v>
      </c>
    </row>
    <row r="22" spans="1:20" ht="15.75" x14ac:dyDescent="0.5">
      <c r="A22" s="2" t="s">
        <v>20</v>
      </c>
      <c r="B22" s="2" t="s">
        <v>180</v>
      </c>
      <c r="C22" s="2" t="s">
        <v>38</v>
      </c>
      <c r="D22" s="2" t="s">
        <v>181</v>
      </c>
      <c r="E22" s="2" t="s">
        <v>55</v>
      </c>
      <c r="F22" s="2" t="s">
        <v>40</v>
      </c>
      <c r="G22" s="2" t="s">
        <v>182</v>
      </c>
      <c r="H22" s="2" t="s">
        <v>26</v>
      </c>
      <c r="I22" s="2" t="s">
        <v>173</v>
      </c>
      <c r="J22" s="2" t="s">
        <v>174</v>
      </c>
      <c r="K22" s="2" t="s">
        <v>29</v>
      </c>
      <c r="L22" s="2" t="s">
        <v>175</v>
      </c>
      <c r="M22" s="2" t="s">
        <v>183</v>
      </c>
      <c r="N22" s="2" t="s">
        <v>184</v>
      </c>
      <c r="O22" s="3">
        <v>0.5</v>
      </c>
      <c r="P22" s="2" t="s">
        <v>44</v>
      </c>
      <c r="Q22" s="2" t="s">
        <v>60</v>
      </c>
      <c r="R22" s="2" t="s">
        <v>185</v>
      </c>
      <c r="S22" s="2" t="s">
        <v>186</v>
      </c>
      <c r="T22" s="4">
        <v>25000</v>
      </c>
    </row>
    <row r="23" spans="1:20" ht="15.75" x14ac:dyDescent="0.5">
      <c r="A23" s="2" t="s">
        <v>20</v>
      </c>
      <c r="B23" s="2" t="s">
        <v>180</v>
      </c>
      <c r="C23" s="2" t="s">
        <v>38</v>
      </c>
      <c r="D23" s="2" t="s">
        <v>181</v>
      </c>
      <c r="E23" s="2" t="s">
        <v>55</v>
      </c>
      <c r="F23" s="2" t="s">
        <v>40</v>
      </c>
      <c r="G23" s="2" t="s">
        <v>182</v>
      </c>
      <c r="H23" s="2" t="s">
        <v>26</v>
      </c>
      <c r="I23" s="2" t="s">
        <v>173</v>
      </c>
      <c r="J23" s="2" t="s">
        <v>174</v>
      </c>
      <c r="K23" s="2" t="s">
        <v>29</v>
      </c>
      <c r="L23" s="2" t="s">
        <v>175</v>
      </c>
      <c r="M23" s="2" t="s">
        <v>183</v>
      </c>
      <c r="N23" s="2" t="s">
        <v>184</v>
      </c>
      <c r="O23" s="3">
        <v>0.5</v>
      </c>
      <c r="P23" s="2" t="s">
        <v>44</v>
      </c>
      <c r="Q23" s="2" t="s">
        <v>60</v>
      </c>
      <c r="R23" s="2" t="s">
        <v>187</v>
      </c>
      <c r="S23" s="2" t="s">
        <v>188</v>
      </c>
      <c r="T23" s="4">
        <v>30000</v>
      </c>
    </row>
    <row r="24" spans="1:20" ht="15.75" x14ac:dyDescent="0.5">
      <c r="A24" s="2" t="s">
        <v>111</v>
      </c>
      <c r="B24" s="2" t="s">
        <v>189</v>
      </c>
      <c r="C24" s="2" t="s">
        <v>190</v>
      </c>
      <c r="D24" s="2" t="s">
        <v>191</v>
      </c>
      <c r="E24" s="2" t="s">
        <v>38</v>
      </c>
      <c r="F24" s="2" t="s">
        <v>24</v>
      </c>
      <c r="G24" s="2" t="s">
        <v>67</v>
      </c>
      <c r="H24" s="2" t="s">
        <v>116</v>
      </c>
      <c r="I24" s="2" t="s">
        <v>192</v>
      </c>
      <c r="J24" s="2" t="s">
        <v>193</v>
      </c>
      <c r="K24" s="2" t="s">
        <v>29</v>
      </c>
      <c r="L24" s="2" t="s">
        <v>30</v>
      </c>
      <c r="M24" s="2" t="s">
        <v>194</v>
      </c>
      <c r="N24" s="2" t="s">
        <v>51</v>
      </c>
      <c r="O24" s="3">
        <v>0.25</v>
      </c>
      <c r="P24" s="2" t="s">
        <v>195</v>
      </c>
      <c r="Q24" s="2" t="s">
        <v>38</v>
      </c>
      <c r="R24" s="2" t="s">
        <v>196</v>
      </c>
      <c r="S24" s="2" t="s">
        <v>197</v>
      </c>
      <c r="T24" s="4">
        <v>4125000</v>
      </c>
    </row>
  </sheetData>
  <autoFilter ref="A1:T1" xr:uid="{00000000-0001-0000-0000-000000000000}"/>
  <pageMargins left="0.7" right="0.7" top="0.75" bottom="0.75" header="0.3" footer="0.3"/>
  <headerFooter>
    <oddFooter>&amp;L_x000D_&amp;1#&amp;"Aptos"&amp;10&amp;K000000 Altera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Sahil-Open 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Rajan, Bijin</cp:lastModifiedBy>
  <dcterms:created xsi:type="dcterms:W3CDTF">2026-07-28T06:20:39Z</dcterms:created>
  <dcterms:modified xsi:type="dcterms:W3CDTF">2026-07-28T07:38:48Z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3f0520e-0011-44d3-b6f7-0e705cf4078b_Enabled">
    <vt:lpwstr>true</vt:lpwstr>
  </property>
  <property fmtid="{D5CDD505-2E9C-101B-9397-08002B2CF9AE}" pid="3" name="MSIP_Label_43f0520e-0011-44d3-b6f7-0e705cf4078b_SetDate">
    <vt:lpwstr>2026-07-28T06:21:12Z</vt:lpwstr>
  </property>
  <property fmtid="{D5CDD505-2E9C-101B-9397-08002B2CF9AE}" pid="4" name="MSIP_Label_43f0520e-0011-44d3-b6f7-0e705cf4078b_Method">
    <vt:lpwstr>Standard</vt:lpwstr>
  </property>
  <property fmtid="{D5CDD505-2E9C-101B-9397-08002B2CF9AE}" pid="5" name="MSIP_Label_43f0520e-0011-44d3-b6f7-0e705cf4078b_Name">
    <vt:lpwstr>Confidential</vt:lpwstr>
  </property>
  <property fmtid="{D5CDD505-2E9C-101B-9397-08002B2CF9AE}" pid="6" name="MSIP_Label_43f0520e-0011-44d3-b6f7-0e705cf4078b_SiteId">
    <vt:lpwstr>fbd72e03-d4a5-4110-adce-614d51f2077a</vt:lpwstr>
  </property>
  <property fmtid="{D5CDD505-2E9C-101B-9397-08002B2CF9AE}" pid="7" name="MSIP_Label_43f0520e-0011-44d3-b6f7-0e705cf4078b_ActionId">
    <vt:lpwstr>efe7f6c8-ef59-4437-a41c-7452d44863c7</vt:lpwstr>
  </property>
  <property fmtid="{D5CDD505-2E9C-101B-9397-08002B2CF9AE}" pid="8" name="MSIP_Label_43f0520e-0011-44d3-b6f7-0e705cf4078b_ContentBits">
    <vt:lpwstr>2</vt:lpwstr>
  </property>
  <property fmtid="{D5CDD505-2E9C-101B-9397-08002B2CF9AE}" pid="9" name="MSIP_Label_43f0520e-0011-44d3-b6f7-0e705cf4078b_Tag">
    <vt:lpwstr>10, 3, 0, 1</vt:lpwstr>
  </property>
</Properties>
</file>