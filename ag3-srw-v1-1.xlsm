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ns1="http://schemas.openxmlformats.org/markup-compatibility/2006" xmlns:ns2="http://schemas.microsoft.com/office/spreadsheetml/2010/11/ac" xmlns:ns3="http://schemas.microsoft.com/office/spreadsheetml/2014/revision" xmlns:ns4="http://schemas.microsoft.com/office/spreadsheetml/2016/revision6" xmlns:ns5="http://schemas.microsoft.com/office/spreadsheetml/2016/revision10" xmlns:ns6="http://schemas.microsoft.com/office/spreadsheetml/2015/revision2" xmlns:ns8="http://schemas.microsoft.com/office/spreadsheetml/2010/11/main" xmlns:ns9="http://schemas.microsoft.com/office/spreadsheetml/2018/calcfeatures" xmlns:r="http://schemas.openxmlformats.org/officeDocument/2006/relationships" ns1:Ignorable="x15 xr xr6 xr10 xr2">
  <fileVersion appName="xl" lastEdited="7" lowestEdited="7" rupBuild="30026" codeName="{80610A8E-5010-04F8-B4C4-4C4527662162}"/>
  <workbookPr codeName="ThisWorkbook"/>
  <ns1:AlternateContent>
    <ns1:Choice Requires="x15">
      <ns2:absPath url="C:\Users\sahil.patni\Documents\Arrow\Qbit\"/>
    </ns1:Choice>
  </ns1:AlternateContent>
  <ns3:revisionPtr revIDLastSave="0" documentId="13_ncr:1_{AEE7C279-ECBB-41F3-A8DB-B7A4B41700FC}" ns4:coauthVersionLast="47" ns4:coauthVersionMax="47" ns5:uidLastSave="{00000000-0000-0000-0000-000000000000}"/>
  <bookViews>
    <workbookView xWindow="-110" yWindow="-110" windowWidth="25820" windowHeight="15500" tabRatio="836" activeTab="2" ns6: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calcMode="auto" fullCalcOnLoad="1" forceFullCalc="1"/>
  <extLst>
    <ext uri="{140A7094-0E35-4892-8432-C4D2E57EDEB5}">
      <ns8:workbookPr chartTrackingRefBase="1"/>
    </ext>
    <ext uri="{B58B0392-4F1F-4190-BB64-5DF3571DCE5F}">
      <ns9:calcFeatures>
        <ns9:feature name="microsoft.com:RD"/>
        <ns9:feature name="microsoft.com:Single"/>
        <ns9:feature name="microsoft.com:FV"/>
        <ns9:feature name="microsoft.com:CNMTM"/>
        <ns9:feature name="microsoft.com:LET_WF"/>
        <ns9:feature name="microsoft.com:LAMBDA_WF"/>
        <ns9:feature name="microsoft.com:ARRAYTEXT_WF"/>
      </ns9: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 r="F53" i="41"/>
  <c r="F52" i="41"/>
  <c r="F51" i="41"/>
  <c r="F50" i="41"/>
  <c r="F49" i="41"/>
  <c r="F48" i="41"/>
  <c r="F47" i="41"/>
  <c r="C47" i="41"/>
  <c r="F46" i="41"/>
  <c r="F45" i="41"/>
  <c r="F44" i="41"/>
  <c r="D8" i="41"/>
  <c r="D12" i="24"/>
  <c r="D11" i="24"/>
  <c r="D10" i="24"/>
  <c r="D9" i="24"/>
  <c r="D8" i="24"/>
  <c r="D7" i="24"/>
  <c r="D6" i="24"/>
  <c r="D5"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<sst xmlns="http://schemas.openxmlformats.org/spreadsheetml/2006/main" count="4583" uniqueCount="1551">
  <si>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</si>
  <si>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</si>
  <si>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</si>
  <si>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</si>
  <si>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</si>
  <si>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</si>
  <si>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</si>
  <si>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</si>
  <si>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</si>
  <si>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</si>
  <si>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</si>
  <si>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</si>
  <si>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</si>
  <si>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</si>
  <si>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</si>
  <si>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</si>
  <si>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</si>
  <si>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</si>
  <si>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</si>
  <si>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</si>
  <si>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</si>
  <si>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</si>
  <si>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</si>
  <si>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</si>
  <si>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</si>
  <si>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</si>
  <si>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</si>
  <si>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</si>
  <si>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</si>
  <si>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</si>
  <si>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</si>
  <si>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</si>
  <si>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</si>
  <si>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</si>
  <si>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</si>
  <si>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</si>
  <si>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</si>
  <si>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</si>
  <si>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</si>
  <si>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</si>
  <si>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</si>
  <si>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</si>
  <si>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</si>
  <si>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</si>
  <si>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</si>
  <si>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</si>
  <si>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</si>
  <si>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</si>
  <si>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</si>
  <si>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</si>
  <si>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</si>
  <si>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</si>
  <si>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</si>
  <si>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</si>
  <si>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</si>
  <si>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</si>
  <si>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</si>
  <si>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</si>
  <si>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</si>
  <si>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</si>
  <si>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</si>
  <si>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</si>
  <si>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</si>
  <si>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</si>
  <si>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</si>
  <si>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</si>
  <si>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</si>
  <si>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</si>
  <si>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</si>
  <si>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</si>
  <si>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</si>
  <si>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</si>
  <si>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</si>
  <si>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</si>
  <si>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</si>
  <si>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</si>
  <si>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</si>
  <si>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</si>
  <si>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</si>
  <si>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</si>
  <si>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</si>
  <si>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</si>
  <si>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</si>
  <si>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</si>
  <si>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</si>
  <si>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</si>
  <si>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</si>
  <si>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</si>
  <si>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</si>
  <si>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</si>
  <si>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</si>
  <si>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</si>
  <si>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</si>
  <si>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</si>
  <si>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</si>
  <si>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</si>
  <si>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</si>
  <si>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</si>
  <si>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</si>
  <si>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</si>
  <si>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</si>
  <si>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</si>
  <si>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</si>
  <si>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</si>
  <si>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</si>
  <si>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</si>
  <si>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</si>
  <si>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</si>
  <si>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</si>
  <si>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</si>
  <si>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</si>
  <si>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</si>
  <si>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</si>
  <si>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</si>
  <si>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</si>
  <si>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</si>
  <si>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</si>
  <si>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</si>
  <si>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</si>
  <si>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</si>
  <si>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</si>
  <si>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</si>
  <si>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</si>
  <si>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</si>
  <si>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</si>
  <si>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</si>
  <si>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</si>
  <si>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</si>
  <si>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</si>
  <si>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</si>
  <si>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</si>
  <si>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</si>
  <si>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</si>
  <si>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</si>
  <si>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</si>
  <si>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</si>
  <si>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</si>
  <si>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</si>
  <si>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</si>
  <si>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</si>
  <si>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</si>
  <si>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</si>
  <si>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</si>
  <si>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</si>
  <si>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</si>
  <si>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</si>
  <si>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</si>
  <si>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</si>
  <si>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</si>
  <si>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</si>
  <si>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</si>
  <si>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</si>
  <si>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</si>
  <si>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</si>
  <si>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</si>
  <si>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</si>
  <si>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</si>
  <si>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</si>
  <si>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</si>
  <si>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</si>
  <si>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</si>
  <si>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</si>
  <si>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</si>
  <si>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</si>
  <si>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</si>
  <si>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</si>
  <si>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</si>
  <si>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</si>
  <si>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</si>
  <si>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</si>
  <si>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</si>
  <si>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</si>
  <si>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</si>
  <si>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</si>
  <si>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</si>
  <si>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</si>
  <si>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</si>
  <si>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</si>
  <si>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</si>
  <si>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</si>
  <si>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</si>
  <si>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</si>
  <si>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</si>
  <si>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</si>
  <si>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</si>
  <si>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</si>
  <si>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</si>
  <si>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</si>
  <si>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</si>
  <si>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</si>
  <si>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</si>
  <si>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</si>
  <si>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</si>
  <si>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</si>
  <si>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</si>
  <si>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</si>
  <si>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</si>
  <si>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</si>
  <si>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</si>
  <si>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</si>
  <si>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</si>
  <si>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</si>
  <si>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</si>
  <si>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</si>
  <si>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</si>
  <si>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</si>
  <si>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</si>
  <si>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</si>
  <si>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</si>
  <si>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</si>
  <si>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</si>
  <si>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</si>
  <si>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</si>
  <si>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</si>
  <si>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</si>
  <si>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</si>
  <si>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</si>
  <si>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</si>
  <si>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</si>
  <si>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</si>
  <si>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</si>
  <si>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</si>
  <si>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</si>
  <si>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</si>
  <si>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</si>
  <si>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</si>
  <si>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</si>
  <si>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</si>
  <si>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</si>
  <si>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</si>
  <si>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</si>
  <si>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</si>
  <si>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</si>
  <si>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</si>
  <si>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</si>
  <si>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</si>
  <si>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</si>
  <si>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</si>
  <si>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</si>
  <si>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</si>
  <si>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</si>
  <si>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</si>
  <si>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</si>
  <si>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</si>
  <si>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</si>
  <si>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</si>
  <si>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</si>
  <si>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</si>
  <si>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</si>
  <si>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</si>
  <si>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</si>
  <si>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</si>
  <si>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</si>
  <si>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</si>
  <si>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</si>
  <si>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</si>
  <si>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</si>
  <si>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</si>
  <si>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</si>
  <si>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</si>
  <si>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</si>
  <si>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</si>
  <si>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</si>
  <si>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</si>
  <si>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</si>
  <si>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</si>
  <si>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</si>
  <si>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</si>
  <si>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</si>
  <si>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</si>
  <si>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</si>
  <si>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</si>
  <si>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</si>
  <si>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</si>
  <si>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</si>
  <si>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</si>
  <si>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</si>
  <si>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</si>
  <si>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</si>
  <si>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</si>
  <si>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</si>
  <si>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</si>
  <si>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</si>
  <si>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</si>
  <si>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</si>
  <si>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</si>
  <si>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</si>
  <si>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</si>
  <si>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</si>
  <si>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</si>
  <si>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</si>
  <si>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</si>
  <si>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</si>
  <si>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</si>
  <si>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</si>
  <si>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</si>
  <si>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</si>
  <si>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</si>
  <si>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</si>
  <si>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</si>
  <si>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</si>
  <si>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</si>
  <si>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</si>
  <si>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</si>
  <si>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</si>
  <si>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</si>
  <si>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</si>
  <si>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</si>
  <si>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</si>
  <si>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</si>
  <si>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</si>
  <si>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</si>
  <si>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</si>
  <si>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</si>
  <si>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</si>
  <si>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</si>
  <si>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</si>
  <si>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</si>
  <si>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</si>
  <si>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</si>
  <si>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</si>
  <si>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</si>
  <si>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</si>
  <si>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</si>
  <si>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</si>
  <si>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</si>
  <si>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</si>
  <si>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</si>
  <si>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</si>
  <si>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</si>
  <si>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</si>
  <si>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</si>
  <si>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</si>
  <si>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</si>
  <si>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</si>
  <si>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</si>
  <si>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</si>
  <si>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</si>
  <si>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</si>
  <si>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</si>
  <si>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</si>
  <si>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</si>
  <si>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</si>
  <si>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</si>
  <si>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</si>
  <si>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</si>
  <si>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</si>
  <si>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</si>
  <si>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</si>
  <si>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</si>
  <si>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</si>
  <si>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</si>
  <si>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</si>
  <si>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</si>
  <si>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</si>
  <si>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</si>
  <si>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</si>
  <si>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</si>
  <si>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</si>
  <si>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</si>
  <si>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</si>
  <si>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</si>
  <si>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</si>
  <si>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</si>
  <si>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</si>
  <si>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</si>
  <si>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</si>
  <si>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</si>
  <si>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</si>
  <si>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</si>
  <si>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</si>
  <si>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</si>
  <si>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</si>
  <si>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</si>
  <si>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</si>
  <si>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</si>
  <si>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</si>
  <si>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</si>
  <si>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</si>
  <si>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</si>
  <si>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</si>
  <si>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</si>
  <si>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</si>
  <si>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</si>
  <si>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</si>
  <si>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</si>
  <si>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</si>
  <si>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</si>
  <si>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</si>
  <si>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</si>
  <si>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</si>
  <si>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</si>
  <si>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</si>
  <si>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</si>
  <si>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</si>
  <si>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</si>
  <si>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</si>
  <si>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</si>
  <si>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</si>
  <si>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</si>
  <si>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</si>
  <si>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</si>
  <si>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</si>
  <si>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</si>
  <si>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</si>
  <si>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</si>
  <si>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</si>
  <si>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</si>
  <si>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</si>
  <si>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</si>
  <si>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</si>
  <si>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</si>
  <si>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</si>
  <si>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</si>
  <si>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</si>
  <si>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</si>
  <si>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</si>
  <si>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</si>
  <si>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</si>
  <si>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</si>
  <si>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</si>
  <si>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</si>
  <si>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</si>
  <si>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</si>
  <si>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</si>
  <si>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</si>
  <si>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</si>
  <si>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</si>
  <si>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</si>
  <si>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</si>
  <si>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</si>
  <si>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</si>
  <si>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</si>
  <si>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</si>
  <si>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</si>
  <si>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</si>
  <si>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</si>
  <si>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</si>
  <si>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</si>
  <si>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</si>
  <si>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</si>
  <si>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</si>
  <si>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</si>
  <si>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</si>
  <si>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</si>
  <si>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</si>
  <si>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</si>
  <si>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</si>
  <si>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</si>
  <si>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</si>
  <si>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</si>
  <si>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</si>
  <si>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</si>
  <si>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</si>
  <si>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</si>
  <si>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</si>
  <si>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</si>
  <si>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</si>
  <si>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</si>
  <si>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</si>
  <si>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</si>
  <si>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</si>
  <si>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</si>
  <si>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</si>
  <si>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</si>
  <si>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</si>
  <si>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</si>
  <si>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</si>
  <si>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</si>
  <si>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</si>
  <si>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</si>
  <si>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</si>
  <si>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</si>
  <si>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</si>
  <si>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</si>
  <si>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</si>
  <si>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</si>
  <si>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</si>
  <si>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</si>
  <si>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</si>
  <si>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</si>
  <si>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</si>
  <si>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</si>
  <si>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</si>
  <si>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</si>
  <si>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</si>
  <si>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</si>
  <si>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</si>
  <si>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</si>
  <si>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</si>
  <si>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</si>
  <si>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</si>
  <si>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</si>
  <si>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</si>
  <si>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</si>
  <si>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</si>
  <si>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</si>
  <si>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</si>
  <si>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</si>
  <si>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</si>
  <si>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</si>
  <si>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</si>
  <si>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</si>
  <si>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</si>
  <si>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</si>
  <si>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</si>
  <si>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</si>
  <si>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</si>
  <si>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</si>
  <si>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</si>
  <si>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</si>
  <si>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</si>
  <si>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</si>
  <si>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</si>
  <si>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</si>
  <si>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</si>
  <si>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</si>
  <si>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</si>
  <si>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</si>
  <si>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</si>
  <si>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</si>
  <si>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</si>
  <si>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</si>
  <si>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</si>
  <si>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</si>
  <si>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</si>
  <si>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</si>
  <si>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</si>
  <si>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</si>
  <si>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</si>
  <si>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</si>
  <si>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</si>
  <si>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</si>
  <si>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</si>
  <si>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</si>
  <si>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</si>
  <si>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</si>
  <si>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</si>
  <si>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</si>
  <si>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</si>
  <si>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</si>
  <si>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</si>
  <si>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</si>
  <si>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</si>
  <si>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</si>
  <si>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</si>
  <si>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</si>
  <si>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</si>
  <si>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</si>
  <si>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</si>
  <si>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</si>
  <si>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</si>
  <si>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</si>
  <si>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</si>
  <si>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</si>
  <si>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</si>
  <si>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</si>
  <si>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</si>
  <si>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</si>
  <si>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</si>
  <si>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</si>
  <si>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</si>
  <si>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</si>
  <si>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</si>
  <si>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</si>
  <si>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</si>
  <si>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</si>
  <si>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</si>
  <si>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</si>
  <si>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</si>
  <si>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</si>
  <si>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</si>
  <si>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</si>
  <si>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</si>
  <si>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</si>
  <si>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</si>
  <si>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</si>
  <si>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</si>
  <si>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</si>
  <si>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</si>
  <si>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</si>
  <si>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</si>
  <si>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</si>
  <si>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</si>
  <si>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</si>
  <si>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</si>
  <si>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</si>
  <si>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</si>
  <si>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</si>
  <si>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</si>
  <si>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</si>
  <si>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</si>
  <si>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</si>
  <si>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</si>
  <si>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</si>
  <si>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</si>
  <si>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</si>
  <si>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</si>
  <si>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</si>
  <si>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</si>
  <si>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</si>
  <si>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</si>
  <si>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</si>
  <si>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</si>
  <si>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</si>
  <si>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</si>
  <si>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</si>
  <si>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</si>
  <si>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</si>
  <si>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</si>
  <si>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</si>
  <si>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</si>
  <si>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</si>
  <si>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</si>
  <si>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</si>
  <si>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</si>
  <si>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</si>
  <si>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</si>
  <si>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</si>
  <si>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</si>
  <si>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</si>
  <si>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</si>
  <si>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</si>
  <si>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</si>
  <si>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</si>
  <si>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</si>
  <si>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</si>
  <si>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</si>
  <si>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</si>
  <si>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</si>
  <si>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</si>
  <si>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</si>
  <si>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</si>
  <si>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</si>
  <si>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</si>
  <si>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</si>
  <si>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</si>
  <si>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</si>
  <si>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</si>
  <si>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</si>
  <si>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</si>
  <si>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</si>
  <si>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</si>
  <si>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</si>
  <si>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</si>
  <si>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</si>
  <si>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</si>
  <si>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</si>
  <si>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</si>
  <si>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</si>
  <si>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</si>
  <si>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</si>
  <si>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</si>
  <si>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</si>
  <si>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</si>
  <si>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</si>
  <si>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</si>
  <si>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</si>
  <si>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</si>
  <si>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</si>
  <si>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</si>
  <si>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</si>
  <si>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</si>
  <si>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</si>
  <si>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</si>
  <si>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</si>
  <si>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</si>
  <si>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</si>
  <si>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</si>
  <si>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</si>
  <si>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</si>
  <si>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</si>
  <si>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</si>
  <si>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</si>
  <si>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</si>
  <si>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</si>
  <si>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</si>
  <si>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</si>
  <si>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</si>
  <si>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</si>
  <si>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</si>
  <si>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</si>
  <si>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</si>
  <si>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</si>
  <si>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</si>
  <si>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</si>
  <si>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</si>
  <si>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</si>
  <si>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</si>
  <si>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</si>
  <si>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</si>
  <si>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</si>
  <si>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</si>
  <si>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</si>
  <si>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</si>
  <si>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</si>
  <si>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</si>
  <si>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</si>
  <si>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</si>
  <si>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</si>
  <si>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</si>
  <si>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</si>
  <si>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</si>
  <si>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</si>
  <si>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</si>
  <si>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</si>
  <si>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</si>
  <si>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</si>
  <si>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</si>
  <si>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</si>
  <si>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</si>
  <si>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</si>
  <si>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</si>
  <si>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</si>
  <si>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</si>
  <si>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</si>
  <si>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</si>
  <si>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</si>
  <si>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</si>
  <si>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</si>
  <si>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</si>
  <si>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</si>
  <si>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</si>
  <si>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</si>
  <si>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</si>
  <si>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</si>
  <si>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</si>
  <si>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</si>
  <si>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</si>
  <si>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</si>
  <si>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</si>
  <si>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</si>
  <si>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</si>
  <si>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</si>
  <si>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</si>
  <si>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</si>
  <si>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</si>
  <si>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</si>
  <si>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</si>
  <si>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</si>
  <si>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</si>
  <si>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</si>
  <si>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</si>
  <si>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</si>
  <si>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</si>
  <si>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</si>
  <si>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</si>
  <si>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</si>
  <si>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</si>
  <si>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</si>
  <si>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</si>
  <si>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</si>
  <si>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</si>
  <si>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</si>
  <si>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</si>
  <si>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</si>
  <si>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</si>
  <si>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</si>
  <si>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</si>
  <si>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</si>
  <si>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</si>
  <si>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</si>
  <si>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</si>
  <si>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</si>
  <si>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</si>
  <si>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</si>
  <si>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</si>
  <si>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</si>
  <si>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</si>
  <si>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</si>
  <si>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</si>
  <si>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</si>
  <si>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</si>
  <si>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</si>
  <si>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</si>
  <si>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</si>
  <si>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</si>
  <si>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</si>
  <si>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</si>
  <si>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</si>
  <si>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</si>
  <si>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</si>
  <si>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</si>
  <si>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</si>
  <si>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</si>
  <si>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</si>
  <si>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</si>
  <si>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</si>
  <si>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</si>
  <si>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</si>
  <si>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</si>
  <si>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</si>
  <si>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</si>
  <si>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</si>
  <si>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</si>
  <si>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</si>
  <si>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</si>
  <si>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</si>
  <si>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</si>
  <si>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</si>
  <si>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</si>
  <si>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</si>
  <si>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</si>
  <si>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</si>
  <si>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</si>
  <si>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</si>
  <si>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</si>
  <si>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</si>
  <si>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</si>
  <si>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</si>
  <si>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</si>
  <si>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</si>
  <si>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</si>
  <si>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</si>
  <si>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</si>
  <si>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</si>
  <si>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</si>
  <si>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</si>
  <si>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</si>
  <si>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</si>
  <si>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</si>
  <si>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</si>
  <si>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</si>
  <si>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</si>
  <si>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</si>
  <si>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</si>
  <si>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</si>
  <si>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</si>
  <si>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</si>
  <si>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</si>
  <si>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</si>
  <si>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</si>
  <si>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</si>
  <si>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</si>
  <si>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</si>
  <si>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</si>
  <si>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</si>
  <si>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</si>
  <si>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</si>
  <si>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</si>
  <si>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</si>
  <si>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</si>
  <si>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</si>
  <si>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</si>
  <si>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</si>
  <si>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</si>
  <si>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</si>
  <si>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</si>
  <si>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</si>
  <si>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</si>
  <si>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</si>
  <si>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</si>
  <si>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</si>
  <si>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</si>
  <si>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</si>
  <si>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</si>
  <si>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</si>
  <si>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</si>
  <si>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</si>
  <si>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</si>
  <si>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</si>
  <si>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</si>
  <si>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</si>
  <si>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</si>
  <si>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</si>
  <si>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</si>
  <si>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</si>
  <si>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</si>
  <si>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</si>
  <si>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</si>
  <si>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</si>
  <si>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</si>
  <si>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</si>
  <si>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</si>
  <si>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</si>
  <si>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</si>
  <si>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</si>
  <si>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</si>
  <si>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</si>
  <si>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</si>
  <si>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</si>
  <si>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</si>
  <si>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</si>
  <si>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</si>
  <si>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</si>
  <si>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</si>
  <si>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</si>
  <si>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</si>
  <si>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</si>
  <si>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</si>
  <si>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</si>
  <si>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</si>
  <si>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</si>
  <si>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</si>
  <si>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</si>
  <si>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</si>
  <si>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</si>
  <si>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</si>
  <si>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</si>
  <si>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</si>
  <si>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</si>
  <si>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</si>
  <si>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</si>
  <si>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</si>
  <si>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</si>
  <si>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</si>
  <si>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</si>
  <si>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</si>
  <si>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</si>
  <si>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</si>
  <si>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</si>
  <si>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</si>
  <si>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</si>
  <si>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</si>
  <si>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</si>
  <si>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</si>
  <si>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</si>
  <si>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</si>
  <si>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</si>
  <si>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</si>
  <si>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</si>
  <si>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</si>
  <si>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</si>
  <si>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</si>
  <si>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</si>
  <si>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</si>
  <si>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</si>
  <si>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</si>
  <si>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</si>
  <si>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</si>
  <si>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</si>
  <si>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</si>
  <si>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</si>
  <si>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</si>
  <si>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</si>
  <si>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</si>
  <si>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</si>
  <si>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</si>
  <si>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</si>
  <si>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</si>
  <si>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</si>
  <si>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</si>
  <si>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</si>
  <si>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</si>
  <si>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</si>
  <si>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</si>
  <si>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</si>
  <si>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</si>
  <si>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</si>
  <si>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</si>
  <si>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</si>
  <si>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</si>
  <si>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</si>
  <si>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</si>
  <si>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</si>
  <si>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</si>
  <si>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</si>
  <si>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</si>
  <si>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</si>
  <si>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</si>
  <si>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</si>
  <si>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</si>
  <si>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</si>
  <si>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</si>
  <si>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</si>
  <si>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</si>
  <si>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</si>
  <si>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</si>
  <si>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</si>
  <si>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</si>
  <si>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</si>
  <si>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</si>
  <si>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</si>
  <si>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</si>
  <si>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</si>
  <si>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</si>
  <si>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</si>
  <si>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</si>
  <si>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</si>
  <si>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</si>
  <si>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</si>
  <si>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</si>
  <si>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</si>
  <si>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</si>
  <si>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</si>
  <si>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</si>
  <si>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</si>
  <si>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</si>
  <si>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</si>
  <si>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</si>
  <si>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</si>
  <si>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</si>
  <si>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</si>
  <si>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</si>
  <si>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</si>
  <si>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</si>
  <si>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</si>
  <si>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</si>
  <si>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</si>
  <si>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</si>
  <si>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</si>
  <si>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</si>
  <si>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</si>
  <si>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</si>
  <si>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</si>
  <si>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</si>
  <si>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</si>
  <si>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</si>
  <si>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</si>
  <si>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</si>
  <si>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</si>
  <si>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</si>
  <si>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</si>
  <si>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</si>
  <si>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</si>
  <si>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</si>
  <si>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</si>
  <si>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</si>
  <si>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</si>
  <si>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</si>
  <si>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</si>
  <si>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</si>
  <si>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</si>
  <si>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</si>
  <si>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</si>
  <si>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</si>
  <si>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</si>
  <si>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</si>
  <si>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</si>
  <si>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</si>
  <si>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</si>
  <si>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</si>
  <si>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</si>
  <si>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</si>
  <si>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</si>
  <si>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</si>
  <si>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</si>
  <si>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</si>
  <si>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</si>
  <si>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</si>
  <si>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</si>
  <si>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</si>
  <si>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</si>
  <si>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</si>
  <si>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</si>
  <si>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</si>
  <si>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</si>
  <si>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</si>
  <si>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</si>
  <si>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</si>
  <si>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</si>
  <si>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</si>
  <si>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</si>
  <si>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</si>
  <si>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</si>
  <si>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</si>
  <si>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</si>
  <si>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</si>
  <si>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</si>
  <si>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</si>
  <si>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</si>
  <si>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</si>
  <si>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</si>
  <si>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</si>
  <si>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</si>
  <si>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</si>
  <si>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</si>
  <si>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</si>
  <si>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</si>
  <si>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</si>
  <si>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</si>
  <si>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</si>
  <si>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</si>
  <si>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</si>
  <si>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</si>
  <si>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</si>
  <si>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</si>
  <si>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</si>
  <si>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</si>
  <si>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</si>
  <si>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</si>
  <si>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</si>
  <si>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</si>
  <si>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</si>
  <si>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</si>
  <si>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</si>
  <si>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</si>
  <si>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</si>
  <si>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</si>
  <si>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</si>
  <si>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</si>
  <si>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</si>
  <si>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</si>
  <si>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</si>
  <si>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</si>
  <si>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</si>
  <si>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</si>
  <si>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</si>
  <si>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</si>
  <si>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</si>
  <si>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</si>
  <si>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</si>
  <si>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</si>
  <si>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</si>
  <si>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</si>
  <si>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</si>
  <si>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</si>
  <si>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</si>
  <si>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</si>
  <si>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</si>
  <si>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</si>
  <si>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</si>
  <si>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</si>
  <si>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</si>
  <si>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</si>
  <si>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</si>
  <si>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</si>
  <si>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</si>
  <si>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</si>
  <si>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</si>
  <si>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</si>
  <si>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</si>
  <si>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</si>
  <si>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</si>
  <si>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</si>
  <si>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</si>
  <si>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</si>
  <si>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</si>
  <si>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</si>
  <si>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</si>
  <si>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</si>
  <si>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</si>
  <si>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</si>
  <si>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</si>
  <si>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</si>
  <si>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</si>
  <si>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</si>
  <si>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</si>
  <si>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</si>
  <si>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</si>
  <si>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</si>
  <si>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</si>
  <si>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</si>
  <si>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</si>
  <si>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</si>
  <si>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</si>
  <si>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</si>
  <si>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</si>
  <si>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</si>
  <si>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</si>
  <si>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</si>
  <si>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</si>
  <si>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</si>
  <si>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</si>
  <si>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</si>
  <si>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</si>
  <si>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</si>
  <si>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</si>
  <si>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</si>
  <si>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</si>
  <si>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</si>
  <si>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</si>
  <si>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</si>
  <si>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</si>
  <si>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</si>
  <si>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</si>
  <si>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</si>
  <si>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</si>
  <si>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</si>
  <si>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</si>
  <si>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</si>
  <si>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</si>
  <si>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</si>
  <si>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</si>
  <si>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</si>
  <si>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</si>
  <si>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</si>
  <si>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</si>
  <si>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</si>
  <si>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</si>
  <si>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</si>
  <si>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</si>
  <si>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</si>
  <si>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</si>
  <si>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</si>
  <si>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</si>
  <si>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</si>
  <si>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</si>
  <si>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</si>
  <si>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</si>
  <si>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</si>
  <si>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</si>
  <si>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</si>
  <si>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</si>
  <si>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</si>
  <si>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</si>
  <si>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</si>
  <si>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</si>
  <si>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</si>
  <si>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</si>
  <si>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</si>
  <si>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</si>
  <si>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</si>
  <si>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</si>
  <si>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</si>
  <si>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</si>
  <si>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</si>
  <si>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</si>
  <si>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</si>
  <si>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</si>
  <si>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</si>
  <si>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</si>
  <si>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</si>
  <si>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</si>
  <si>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</si>
  <si>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</si>
  <si>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</si>
  <si>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</si>
  <si>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</si>
  <si>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</si>
  <si>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</si>
  <si>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</si>
  <si>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</si>
  <si>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</si>
  <si>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</si>
  <si>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</si>
  <si>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</si>
  <si>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</si>
  <si>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</si>
  <si>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</si>
  <si>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</si>
  <si>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</si>
  <si>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</si>
  <si>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</si>
  <si>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</si>
  <si>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</si>
  <si>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</si>
  <si>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</si>
  <si>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</si>
  <si>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</si>
  <si>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</si>
  <si>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</si>
  <si>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</si>
  <si>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</si>
  <si>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</si>
  <si>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</si>
  <si>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</si>
  <si>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</si>
  <si>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</si>
  <si>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</si>
  <si>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</si>
  <si>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</si>
  <si>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</si>
  <si>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</si>
  <si>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</si>
  <si>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</si>
  <si>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</si>
  <si>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</si>
  <si>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</si>
  <si>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</si>
  <si>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</si>
  <si>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</si>
  <si>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</si>
  <si>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</si>
  <si>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</si>
  <si>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</si>
  <si>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</si>
  <si>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</si>
  <si>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</si>
  <si>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</si>
  <si>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</si>
  <si>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</si>
  <si>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</si>
  <si>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</si>
  <si>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</si>
  <si>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</si>
  <si>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</si>
  <si>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</si>
  <si>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</si>
  <si>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</si>
  <si>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</si>
  <si>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</si>
  <si>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</si>
  <si>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</si>
  <si>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</si>
  <si>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</si>
  <si>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</si>
  <si>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</si>
  <si>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</si>
  <si>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</si>
  <si>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</si>
  <si>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</si>
  <si>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</si>
  <si>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</si>
  <si>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</si>
  <si>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</si>
  <si>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</si>
  <si>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</si>
  <si>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</si>
  <si>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</si>
  <si>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</si>
  <si>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</si>
  <si>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</si>
  <si>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</si>
  <si>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</si>
  <si>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</si>
  <si>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</si>
  <si>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</si>
  <si>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</si>
  <si>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</si>
  <si>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</si>
  <si>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</si>
  <si>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</si>
  <si>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</si>
  <si>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</si>
  <si>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</si>
  <si>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</si>
  <si>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</si>
  <si>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</si>
  <si>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</si>
  <si>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</si>
  <si>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</si>
  <si>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</si>
  <si>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</si>
  <si>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</si>
  <si>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</si>
  <si>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</si>
  <si>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</si>
  <si>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</si>
  <si>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</si>
  <si>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</si>
  <si>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</si>
  <si>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</si>
  <si>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</si>
  <si>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</si>
  <si>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</si>
  <si>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</si>
  <si>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</si>
  <si>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</si>
  <si>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</si>
  <si>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</si>
  <si>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</si>
  <si>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</si>
  <si>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</si>
  <si>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</si>
  <si>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</si>
  <si>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</si>
  <si>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</si>
  <si>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</si>
  <si>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</si>
  <si>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</si>
  <si>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</si>
  <si>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</si>
  <si>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</si>
  <si>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</si>
  <si>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</si>
  <si>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</si>
  <si>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</si>
  <si>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</si>
  <si>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</si>
  <si>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</si>
  <si>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</si>
  <si>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</si>
  <si>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</si>
  <si>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</si>
  <si>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</si>
  <si>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</si>
  <si>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</si>
  <si>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</si>
  <si>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</si>
  <si>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</si>
  <si>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</si>
  <si>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</si>
  <si>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</si>
  <si>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</si>
  <si>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</si>
  <si>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</si>
  <si>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</si>
  <si>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</si>
  <si>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</si>
  <si>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</si>
  <si>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</si>
  <si>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</si>
  <si>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</si>
  <si>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</si>
  <si>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</si>
  <si>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</si>
  <si>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</si>
  <si>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</si>
  <si>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</si>
  <si>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</si>
  <si>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</si>
  <si>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</si>
  <si>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</si>
  <si>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</si>
  <si>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</si>
  <si>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</si>
  <si>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</si>
  <si>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</si>
  <si>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</si>
  <si>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</si>
  <si>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</si>
  <si>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</si>
  <si>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</si>
  <si>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</si>
  <si>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</si>
  <si>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</si>
  <si>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</si>
  <si>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</si>
  <si>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</si>
  <si>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</si>
  <si>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</si>
  <si>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</si>
  <si>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</si>
  <si>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</si>
  <si>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</si>
  <si>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</si>
  <si>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</si>
  <si>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</si>
  <si>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</si>
  <si>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</si>
  <si>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</si>
  <si>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</si>
  <si>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</si>
  <si>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</si>
  <si>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</si>
  <si>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</si>
  <si>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</si>
  <si>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</si>
  <si>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</si>
  <si>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</si>
  <si>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</si>
  <si>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</si>
  <si>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</si>
  <si>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</si>
  <si>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</si>
  <si>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</si>
  <si>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</si>
  <si>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</si>
  <si>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</si>
  <si>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</si>
  <si>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</si>
  <si>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</si>
  <si>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</si>
  <si>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</si>
  <si>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</si>
  <si>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</si>
  <si>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</si>
  <si>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</si>
  <si>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</si>
  <si>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</si>
  <si>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</si>
  <si>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</si>
  <si>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</si>
  <si>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</si>
  <si>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</si>
  <si>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</si>
  <si>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</si>
  <si>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</si>
  <si>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</si>
  <si>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</si>
  <si>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</si>
  <si>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</si>
  <si>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</si>
  <si>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</si>
  <si>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</si>
  <si>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</si>
  <si>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</si>
  <si>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</si>
  <si>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</si>
  <si>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</si>
  <si>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</si>
  <si>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</si>
  <si>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</si>
  <si>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</si>
  <si>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</si>
  <si>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</si>
  <si>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</si>
  <si>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</si>
  <si>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</si>
  <si>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</si>
  <si>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</si>
  <si>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</si>
  <si>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</si>
  <si>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</si>
  <si>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</si>
  <si>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</si>
  <si>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</si>
  <si>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</si>
  <si>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</si>
  <si>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</si>
  <si>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</si>
  <si>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</si>
  <si>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</si>
  <si>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</si>
  <si>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</si>
  <si>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</si>
  <si>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</si>
  <si>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</si>
  <si>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</si>
  <si>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</si>
  <si>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</si>
  <si>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</si>
  <si>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</si>
  <si>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Not Available</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</si>
  <si>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</si>
  <si>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</si>
  <si>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Vcc and VccP both are operating at 0.78V</t>
  </si>
  <si>
    <t>Vccpt at 1.8V</t>
  </si>
  <si>
    <t>VCCRCORE at 1.2V</t>
  </si>
  <si>
    <t>VCCH_SDM connected to 0.78V(should be connect to 1V bcz it is transceiver based device)</t>
  </si>
  <si>
    <t>VCCIO_PIO connected to 1.2V/1.3V</t>
  </si>
  <si>
    <t>Connected to 1.2V i.e.Avalon streaming i/f*16 used</t>
  </si>
  <si>
    <t>connected to 1.8V</t>
  </si>
  <si>
    <t>Connected to ferrite bead to 0.78V</t>
  </si>
  <si>
    <t>Connected to FP_VCC=0.78v</t>
  </si>
  <si>
    <t>Connected to VCCPT=1.8 through ferrite bead</t>
  </si>
  <si>
    <t>Connected to GND</t>
  </si>
  <si>
    <t>Connected to FP_VCC=0.78v i.e. FPGA Vcc power.</t>
  </si>
  <si>
    <t>Connected to regulator GND</t>
  </si>
  <si>
    <t>Connected to 1.8V</t>
  </si>
  <si>
    <t>Connected to VCCPT=1.8v</t>
  </si>
  <si>
    <t>Connected to FP_VCC=0.78V</t>
  </si>
  <si>
    <t>Connected to FP_Vcc=0.78v</t>
  </si>
  <si>
    <t>Tied to GND</t>
  </si>
  <si>
    <t>TCK tied to 1K Res to GND.</t>
  </si>
  <si>
    <t>TMS tied to 10K to 1.8v(VCCIO_SDM)</t>
  </si>
  <si>
    <t>TDO tied to 10K to 1.8v</t>
  </si>
  <si>
    <t>TDI tied to 10K to 1.8v(VCCIO_SDM)</t>
  </si>
  <si>
    <t>nSTATUS tied to 10K to 1.8v(VCCIO_SDM)</t>
  </si>
  <si>
    <t>nCONFIG pin is connected to VCCIO_SDM(1.8v) through 10K, just need to verify PG pin of power sequencer</t>
  </si>
  <si>
    <t>OSC_CLK_1 connected to clock source 25MHz</t>
  </si>
  <si>
    <t>RREF_SDM pin connected to 2K to GND</t>
  </si>
  <si>
    <t>Need to check once</t>
  </si>
  <si>
    <t>SDM_IO4 connected to DQ0 pin of QSPI flash</t>
  </si>
  <si>
    <t>SDM_IO3 connected to DQ2 pin of QSPI flash</t>
  </si>
  <si>
    <t>SDM_IO1 connected to DQ1 pin of QSPI flash</t>
  </si>
  <si>
    <t>SDM_IO2 connected to SCK pin of QSPI flash</t>
  </si>
  <si>
    <t>SDM_IO6 connected to DQ3 pin of QSPI flash</t>
  </si>
  <si>
    <t>Connected to switch(MSEL[1]) for cofiguration scheme selection, normally high.</t>
  </si>
  <si>
    <t>Connected to switch(MSEL[2]) for cofiguration scheme selection, normally high. Need to check for AS configuration</t>
  </si>
  <si>
    <t>Connected to JTAG pins, need to check</t>
  </si>
  <si>
    <t>RZQ pin connected to 240ohm to GND</t>
  </si>
  <si>
    <t>connected as per customer app.</t>
  </si>
  <si>
    <t>Connected as per customer app.</t>
  </si>
  <si>
    <t>Used as an IO</t>
  </si>
  <si>
    <t>Need to check once, as per my understanding transceiver is not being used</t>
  </si>
  <si>
    <t>unused Pin is connected to GND</t>
  </si>
  <si>
    <t>Unused pin is floating</t>
  </si>
  <si>
    <t>Pin itself pulled high internally so need to check.</t>
  </si>
  <si>
    <t>Connected as an 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</si>
</sst>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0">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7">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37777" y="6729535"/>
          <a:ext cx="5955591"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57150</xdr:rowOff>
        </xdr:from>
        <xdr:to>
          <xdr:col>3</xdr:col>
          <xdr:colOff>3295650</xdr:colOff>
          <xdr:row>5</xdr:row>
          <xdr:rowOff>342900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19050</xdr:rowOff>
        </xdr:from>
        <xdr:to>
          <xdr:col>3</xdr:col>
          <xdr:colOff>3619500</xdr:colOff>
          <xdr:row>21</xdr:row>
          <xdr:rowOff>171450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355600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552450</xdr:colOff>
          <xdr:row>32</xdr:row>
          <xdr:rowOff>76200</xdr:rowOff>
        </xdr:from>
        <xdr:to>
          <xdr:col>3</xdr:col>
          <xdr:colOff>133350</xdr:colOff>
          <xdr:row>32</xdr:row>
          <xdr:rowOff>393700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247650</xdr:colOff>
          <xdr:row>22</xdr:row>
          <xdr:rowOff>19050</xdr:rowOff>
        </xdr:from>
        <xdr:to>
          <xdr:col>4</xdr:col>
          <xdr:colOff>2609850</xdr:colOff>
          <xdr:row>24</xdr:row>
          <xdr:rowOff>31750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19050</xdr:rowOff>
        </xdr:from>
        <xdr:to>
          <xdr:col>5</xdr:col>
          <xdr:colOff>1155700</xdr:colOff>
          <xdr:row>24</xdr:row>
          <xdr:rowOff>31750</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95250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755813</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7265625" defaultRowHeight="13.5"/>
  <cols>
    <col min="1" max="1" width="11.26953125" style="73" customWidth="1"/>
    <col min="2" max="16" width="8.7265625" style="73"/>
    <col min="17" max="17" width="9.453125" style="73" customWidth="1"/>
    <col min="18" max="16384" width="8.7265625" style="73"/>
  </cols>
  <sheetData>
    <row r="1" spans="1:17" ht="42.65" customHeight="1">
      <c r="A1" s="72"/>
      <c r="B1" s="220" t="s">
        <v>922</v>
      </c>
      <c r="C1" s="220"/>
      <c r="D1" s="220"/>
      <c r="E1" s="220"/>
      <c r="F1" s="220"/>
      <c r="G1" s="220"/>
      <c r="H1" s="220"/>
      <c r="I1" s="220"/>
      <c r="J1" s="220"/>
      <c r="K1" s="220"/>
      <c r="L1" s="220"/>
      <c r="M1" s="220"/>
      <c r="N1" s="220"/>
      <c r="O1" s="220"/>
      <c r="P1" s="220"/>
      <c r="Q1" s="220"/>
    </row>
    <row r="2" spans="1:17" ht="16.149999999999999" customHeight="1">
      <c r="A2" s="74"/>
      <c r="B2" s="221" t="s">
        <v>1496</v>
      </c>
      <c r="C2" s="221"/>
      <c r="D2" s="221"/>
      <c r="E2" s="221"/>
      <c r="F2" s="221"/>
      <c r="G2" s="221"/>
      <c r="H2" s="221"/>
      <c r="I2" s="221"/>
      <c r="J2" s="221"/>
      <c r="K2" s="221"/>
      <c r="L2" s="221"/>
      <c r="M2" s="221"/>
      <c r="N2" s="221"/>
      <c r="O2" s="221"/>
      <c r="P2" s="221"/>
      <c r="Q2" s="221"/>
    </row>
    <row r="3" spans="1:17">
      <c r="A3" s="75"/>
    </row>
    <row r="4" spans="1:17" ht="20.149999999999999" customHeight="1">
      <c r="A4" s="225" t="s">
        <v>871</v>
      </c>
      <c r="B4" s="226"/>
      <c r="C4" s="226"/>
      <c r="D4" s="226"/>
      <c r="E4" s="226"/>
      <c r="F4" s="226"/>
      <c r="G4" s="226"/>
      <c r="H4" s="226"/>
      <c r="I4" s="226"/>
      <c r="J4" s="226"/>
      <c r="K4" s="226"/>
      <c r="L4" s="226"/>
      <c r="M4" s="226"/>
      <c r="N4" s="226"/>
      <c r="O4" s="226"/>
      <c r="P4" s="226"/>
      <c r="Q4" s="227"/>
    </row>
    <row r="5" spans="1:17" ht="30" customHeight="1">
      <c r="A5" s="228" t="s">
        <v>920</v>
      </c>
      <c r="B5" s="229"/>
      <c r="C5" s="229"/>
      <c r="D5" s="229"/>
      <c r="E5" s="229"/>
      <c r="F5" s="229"/>
      <c r="G5" s="229"/>
      <c r="H5" s="229"/>
      <c r="I5" s="229"/>
      <c r="J5" s="229"/>
      <c r="K5" s="229"/>
      <c r="L5" s="229"/>
      <c r="M5" s="229"/>
      <c r="N5" s="229"/>
      <c r="O5" s="229"/>
      <c r="P5" s="229"/>
      <c r="Q5" s="230"/>
    </row>
    <row r="6" spans="1:17" ht="16.149999999999999" customHeight="1">
      <c r="A6" s="231" t="s">
        <v>872</v>
      </c>
      <c r="B6" s="232"/>
      <c r="C6" s="232"/>
      <c r="D6" s="232"/>
      <c r="E6" s="232"/>
      <c r="F6" s="232"/>
      <c r="G6" s="232"/>
      <c r="H6" s="232"/>
      <c r="I6" s="232"/>
      <c r="J6" s="232"/>
      <c r="K6" s="232"/>
      <c r="L6" s="232"/>
      <c r="M6" s="232"/>
      <c r="N6" s="232"/>
      <c r="O6" s="232"/>
      <c r="P6" s="232"/>
      <c r="Q6" s="233"/>
    </row>
    <row r="7" spans="1:17" ht="354.65" customHeight="1">
      <c r="A7" s="234"/>
      <c r="B7" s="235"/>
      <c r="C7" s="235"/>
      <c r="D7" s="235"/>
      <c r="E7" s="235"/>
      <c r="F7" s="235"/>
      <c r="G7" s="235"/>
      <c r="H7" s="235"/>
      <c r="I7" s="235"/>
      <c r="J7" s="235"/>
      <c r="K7" s="235"/>
      <c r="L7" s="235"/>
      <c r="M7" s="235"/>
      <c r="N7" s="235"/>
      <c r="O7" s="235"/>
      <c r="P7" s="235"/>
      <c r="Q7" s="236"/>
    </row>
    <row r="8" spans="1:17" ht="16.149999999999999" customHeight="1">
      <c r="A8" s="231" t="s">
        <v>873</v>
      </c>
      <c r="B8" s="232"/>
      <c r="C8" s="232"/>
      <c r="D8" s="232"/>
      <c r="E8" s="232"/>
      <c r="F8" s="232"/>
      <c r="G8" s="232"/>
      <c r="H8" s="232"/>
      <c r="I8" s="232"/>
      <c r="J8" s="232"/>
      <c r="K8" s="232"/>
      <c r="L8" s="232"/>
      <c r="M8" s="232"/>
      <c r="N8" s="232"/>
      <c r="O8" s="232"/>
      <c r="P8" s="232"/>
      <c r="Q8" s="233"/>
    </row>
    <row r="9" spans="1:17" ht="16.149999999999999" customHeight="1">
      <c r="A9" s="231" t="s">
        <v>919</v>
      </c>
      <c r="B9" s="232"/>
      <c r="C9" s="232"/>
      <c r="D9" s="232"/>
      <c r="E9" s="232"/>
      <c r="F9" s="232"/>
      <c r="G9" s="232"/>
      <c r="H9" s="232"/>
      <c r="I9" s="232"/>
      <c r="J9" s="232"/>
      <c r="K9" s="232"/>
      <c r="L9" s="232"/>
      <c r="M9" s="232"/>
      <c r="N9" s="232"/>
      <c r="O9" s="232"/>
      <c r="P9" s="232"/>
      <c r="Q9" s="233"/>
    </row>
    <row r="10" spans="1:17" ht="88.15" customHeight="1">
      <c r="A10" s="249"/>
      <c r="B10" s="250"/>
      <c r="C10" s="250"/>
      <c r="D10" s="250"/>
      <c r="E10" s="250"/>
      <c r="F10" s="250"/>
      <c r="G10" s="250"/>
      <c r="H10" s="250"/>
      <c r="I10" s="250"/>
      <c r="J10" s="250"/>
      <c r="K10" s="250"/>
      <c r="L10" s="250"/>
      <c r="M10" s="250"/>
      <c r="N10" s="250"/>
      <c r="O10" s="250"/>
      <c r="P10" s="250"/>
      <c r="Q10" s="251"/>
    </row>
    <row r="11" spans="1:17" ht="20.149999999999999" customHeight="1">
      <c r="A11" s="225" t="s">
        <v>874</v>
      </c>
      <c r="B11" s="226"/>
      <c r="C11" s="226"/>
      <c r="D11" s="226"/>
      <c r="E11" s="226"/>
      <c r="F11" s="226"/>
      <c r="G11" s="226"/>
      <c r="H11" s="226"/>
      <c r="I11" s="226"/>
      <c r="J11" s="226"/>
      <c r="K11" s="226"/>
      <c r="L11" s="226"/>
      <c r="M11" s="226"/>
      <c r="N11" s="226"/>
      <c r="O11" s="226"/>
      <c r="P11" s="226"/>
      <c r="Q11" s="227"/>
    </row>
    <row r="12" spans="1:17" ht="16.149999999999999" customHeight="1">
      <c r="A12" s="222" t="s">
        <v>741</v>
      </c>
      <c r="B12" s="223"/>
      <c r="C12" s="223"/>
      <c r="D12" s="223"/>
      <c r="E12" s="223"/>
      <c r="F12" s="223"/>
      <c r="G12" s="223"/>
      <c r="H12" s="223"/>
      <c r="I12" s="223"/>
      <c r="J12" s="223"/>
      <c r="K12" s="223"/>
      <c r="L12" s="223"/>
      <c r="M12" s="223"/>
      <c r="N12" s="223"/>
      <c r="O12" s="223"/>
      <c r="P12" s="223"/>
      <c r="Q12" s="224"/>
    </row>
    <row r="13" spans="1:17" ht="16.149999999999999" customHeight="1">
      <c r="A13" s="222" t="s">
        <v>875</v>
      </c>
      <c r="B13" s="223"/>
      <c r="C13" s="223"/>
      <c r="D13" s="223"/>
      <c r="E13" s="223"/>
      <c r="F13" s="223"/>
      <c r="G13" s="223"/>
      <c r="H13" s="223"/>
      <c r="I13" s="223"/>
      <c r="J13" s="223"/>
      <c r="K13" s="223"/>
      <c r="L13" s="223"/>
      <c r="M13" s="223"/>
      <c r="N13" s="223"/>
      <c r="O13" s="223"/>
      <c r="P13" s="223"/>
      <c r="Q13" s="224"/>
    </row>
    <row r="14" spans="1:17" ht="30" customHeight="1">
      <c r="A14" s="240" t="s">
        <v>921</v>
      </c>
      <c r="B14" s="241"/>
      <c r="C14" s="241"/>
      <c r="D14" s="241"/>
      <c r="E14" s="241"/>
      <c r="F14" s="241"/>
      <c r="G14" s="241"/>
      <c r="H14" s="241"/>
      <c r="I14" s="241"/>
      <c r="J14" s="241"/>
      <c r="K14" s="241"/>
      <c r="L14" s="241"/>
      <c r="M14" s="241"/>
      <c r="N14" s="241"/>
      <c r="O14" s="241"/>
      <c r="P14" s="241"/>
      <c r="Q14" s="242"/>
    </row>
    <row r="15" spans="1:17" ht="377.15" customHeight="1">
      <c r="A15" s="243"/>
      <c r="B15" s="244"/>
      <c r="C15" s="244"/>
      <c r="D15" s="244"/>
      <c r="E15" s="244"/>
      <c r="F15" s="244"/>
      <c r="G15" s="244"/>
      <c r="H15" s="244"/>
      <c r="I15" s="244"/>
      <c r="J15" s="244"/>
      <c r="K15" s="244"/>
      <c r="L15" s="244"/>
      <c r="M15" s="244"/>
      <c r="N15" s="244"/>
      <c r="O15" s="244"/>
      <c r="P15" s="244"/>
      <c r="Q15" s="245"/>
    </row>
    <row r="16" spans="1:17" ht="16.149999999999999" customHeight="1">
      <c r="A16" s="222" t="s">
        <v>742</v>
      </c>
      <c r="B16" s="223"/>
      <c r="C16" s="223"/>
      <c r="D16" s="223"/>
      <c r="E16" s="223"/>
      <c r="F16" s="223"/>
      <c r="G16" s="223"/>
      <c r="H16" s="223"/>
      <c r="I16" s="223"/>
      <c r="J16" s="223"/>
      <c r="K16" s="223"/>
      <c r="L16" s="223"/>
      <c r="M16" s="223"/>
      <c r="N16" s="223"/>
      <c r="O16" s="223"/>
      <c r="P16" s="223"/>
      <c r="Q16" s="224"/>
    </row>
    <row r="17" spans="1:17" ht="30" customHeight="1">
      <c r="A17" s="240" t="s">
        <v>914</v>
      </c>
      <c r="B17" s="241"/>
      <c r="C17" s="241"/>
      <c r="D17" s="241"/>
      <c r="E17" s="241"/>
      <c r="F17" s="241"/>
      <c r="G17" s="241"/>
      <c r="H17" s="241"/>
      <c r="I17" s="241"/>
      <c r="J17" s="241"/>
      <c r="K17" s="241"/>
      <c r="L17" s="241"/>
      <c r="M17" s="241"/>
      <c r="N17" s="241"/>
      <c r="O17" s="241"/>
      <c r="P17" s="241"/>
      <c r="Q17" s="242"/>
    </row>
    <row r="18" spans="1:17" ht="15" customHeight="1">
      <c r="A18" s="240"/>
      <c r="B18" s="241"/>
      <c r="C18" s="241"/>
      <c r="D18" s="241"/>
      <c r="E18" s="241"/>
      <c r="F18" s="241"/>
      <c r="G18" s="241"/>
      <c r="H18" s="241"/>
      <c r="I18" s="241"/>
      <c r="J18" s="241"/>
      <c r="K18" s="241"/>
      <c r="L18" s="241"/>
      <c r="M18" s="241"/>
      <c r="N18" s="241"/>
      <c r="O18" s="241"/>
      <c r="P18" s="241"/>
      <c r="Q18" s="242"/>
    </row>
    <row r="19" spans="1:17" ht="20.149999999999999" customHeight="1">
      <c r="A19" s="225" t="s">
        <v>876</v>
      </c>
      <c r="B19" s="226"/>
      <c r="C19" s="226"/>
      <c r="D19" s="226"/>
      <c r="E19" s="226"/>
      <c r="F19" s="226"/>
      <c r="G19" s="226"/>
      <c r="H19" s="226"/>
      <c r="I19" s="226"/>
      <c r="J19" s="226"/>
      <c r="K19" s="226"/>
      <c r="L19" s="226"/>
      <c r="M19" s="226"/>
      <c r="N19" s="226"/>
      <c r="O19" s="226"/>
      <c r="P19" s="226"/>
      <c r="Q19" s="227"/>
    </row>
    <row r="20" spans="1:17" ht="16.149999999999999" customHeight="1">
      <c r="A20" s="246" t="s">
        <v>743</v>
      </c>
      <c r="B20" s="247"/>
      <c r="C20" s="247"/>
      <c r="D20" s="247"/>
      <c r="E20" s="247"/>
      <c r="F20" s="247"/>
      <c r="G20" s="247"/>
      <c r="H20" s="247"/>
      <c r="I20" s="247"/>
      <c r="J20" s="247"/>
      <c r="K20" s="247"/>
      <c r="L20" s="247"/>
      <c r="M20" s="247"/>
      <c r="N20" s="247"/>
      <c r="O20" s="247"/>
      <c r="P20" s="247"/>
      <c r="Q20" s="248"/>
    </row>
    <row r="21" spans="1:17" ht="16.149999999999999" customHeight="1">
      <c r="A21" s="237" t="s">
        <v>744</v>
      </c>
      <c r="B21" s="238"/>
      <c r="C21" s="238"/>
      <c r="D21" s="238"/>
      <c r="E21" s="238"/>
      <c r="F21" s="238"/>
      <c r="G21" s="238"/>
      <c r="H21" s="238"/>
      <c r="I21" s="238"/>
      <c r="J21" s="238"/>
      <c r="K21" s="238"/>
      <c r="L21" s="238"/>
      <c r="M21" s="238"/>
      <c r="N21" s="238"/>
      <c r="O21" s="238"/>
      <c r="P21" s="238"/>
      <c r="Q21" s="239"/>
    </row>
    <row r="22" spans="1:17" ht="16.149999999999999" customHeight="1">
      <c r="A22" s="237" t="s">
        <v>877</v>
      </c>
      <c r="B22" s="238"/>
      <c r="C22" s="238"/>
      <c r="D22" s="238"/>
      <c r="E22" s="238"/>
      <c r="F22" s="238"/>
      <c r="G22" s="238"/>
      <c r="H22" s="238"/>
      <c r="I22" s="238"/>
      <c r="J22" s="238"/>
      <c r="K22" s="238"/>
      <c r="L22" s="238"/>
      <c r="M22" s="238"/>
      <c r="N22" s="238"/>
      <c r="O22" s="238"/>
      <c r="P22" s="238"/>
      <c r="Q22" s="239"/>
    </row>
    <row r="23" spans="1:17" ht="257.64999999999998" customHeight="1">
      <c r="A23" s="243"/>
      <c r="B23" s="244"/>
      <c r="C23" s="244"/>
      <c r="D23" s="244"/>
      <c r="E23" s="244"/>
      <c r="F23" s="244"/>
      <c r="G23" s="244"/>
      <c r="H23" s="244"/>
      <c r="I23" s="244"/>
      <c r="J23" s="244"/>
      <c r="K23" s="244"/>
      <c r="L23" s="244"/>
      <c r="M23" s="244"/>
      <c r="N23" s="244"/>
      <c r="O23" s="244"/>
      <c r="P23" s="244"/>
      <c r="Q23" s="245"/>
    </row>
    <row r="24" spans="1:17" ht="16.149999999999999" customHeight="1">
      <c r="A24" s="237" t="s">
        <v>878</v>
      </c>
      <c r="B24" s="238"/>
      <c r="C24" s="238"/>
      <c r="D24" s="238"/>
      <c r="E24" s="238"/>
      <c r="F24" s="238"/>
      <c r="G24" s="238"/>
      <c r="H24" s="238"/>
      <c r="I24" s="238"/>
      <c r="J24" s="238"/>
      <c r="K24" s="238"/>
      <c r="L24" s="238"/>
      <c r="M24" s="238"/>
      <c r="N24" s="238"/>
      <c r="O24" s="238"/>
      <c r="P24" s="238"/>
      <c r="Q24" s="239"/>
    </row>
    <row r="25" spans="1:17" ht="16.149999999999999" customHeight="1">
      <c r="A25" s="237" t="s">
        <v>879</v>
      </c>
      <c r="B25" s="238"/>
      <c r="C25" s="238"/>
      <c r="D25" s="238"/>
      <c r="E25" s="238"/>
      <c r="F25" s="238"/>
      <c r="G25" s="238"/>
      <c r="H25" s="238"/>
      <c r="I25" s="238"/>
      <c r="J25" s="238"/>
      <c r="K25" s="238"/>
      <c r="L25" s="238"/>
      <c r="M25" s="238"/>
      <c r="N25" s="238"/>
      <c r="O25" s="238"/>
      <c r="P25" s="238"/>
      <c r="Q25" s="239"/>
    </row>
    <row r="26" spans="1:17" ht="16.149999999999999" customHeight="1">
      <c r="A26" s="76" t="s">
        <v>745</v>
      </c>
      <c r="B26" s="78"/>
      <c r="C26" s="78"/>
      <c r="D26" s="78"/>
      <c r="E26" s="78"/>
      <c r="F26" s="78"/>
      <c r="G26" s="78"/>
      <c r="H26" s="78"/>
      <c r="I26" s="78"/>
      <c r="J26" s="78"/>
      <c r="K26" s="78"/>
      <c r="L26" s="78"/>
      <c r="M26" s="78"/>
      <c r="N26" s="78"/>
      <c r="O26" s="78"/>
      <c r="P26" s="78"/>
      <c r="Q26" s="77"/>
    </row>
    <row r="27" spans="1:17" ht="234.65" customHeight="1">
      <c r="A27" s="243"/>
      <c r="B27" s="244"/>
      <c r="C27" s="244"/>
      <c r="D27" s="244"/>
      <c r="E27" s="244"/>
      <c r="F27" s="244"/>
      <c r="G27" s="244"/>
      <c r="H27" s="244"/>
      <c r="I27" s="244"/>
      <c r="J27" s="244"/>
      <c r="K27" s="244"/>
      <c r="L27" s="244"/>
      <c r="M27" s="244"/>
      <c r="N27" s="244"/>
      <c r="O27" s="244"/>
      <c r="P27" s="244"/>
      <c r="Q27" s="245"/>
    </row>
    <row r="28" spans="1:17" ht="30" customHeight="1">
      <c r="A28" s="240" t="s">
        <v>915</v>
      </c>
      <c r="B28" s="241"/>
      <c r="C28" s="241"/>
      <c r="D28" s="241"/>
      <c r="E28" s="241"/>
      <c r="F28" s="241"/>
      <c r="G28" s="241"/>
      <c r="H28" s="241"/>
      <c r="I28" s="241"/>
      <c r="J28" s="241"/>
      <c r="K28" s="241"/>
      <c r="L28" s="241"/>
      <c r="M28" s="241"/>
      <c r="N28" s="241"/>
      <c r="O28" s="241"/>
      <c r="P28" s="241"/>
      <c r="Q28" s="242"/>
    </row>
    <row r="29" spans="1:17" ht="119.65" customHeight="1">
      <c r="A29" s="217"/>
      <c r="B29" s="218"/>
      <c r="C29" s="218"/>
      <c r="D29" s="218"/>
      <c r="E29" s="218"/>
      <c r="F29" s="218"/>
      <c r="G29" s="218"/>
      <c r="H29" s="218"/>
      <c r="I29" s="218"/>
      <c r="J29" s="218"/>
      <c r="K29" s="218"/>
      <c r="L29" s="218"/>
      <c r="M29" s="218"/>
      <c r="N29" s="218"/>
      <c r="O29" s="218"/>
      <c r="P29" s="218"/>
      <c r="Q29" s="219"/>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10:Q10"/>
    <mergeCell ref="A14:Q14"/>
    <mergeCell ref="A17:Q17"/>
    <mergeCell ref="A18:Q18"/>
    <mergeCell ref="A15:Q15"/>
    <mergeCell ref="A27:Q27"/>
    <mergeCell ref="A19:Q19"/>
    <mergeCell ref="A20:Q20"/>
    <mergeCell ref="A21:Q21"/>
    <mergeCell ref="A22:Q22"/>
    <mergeCell ref="A24:Q24"/>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A9" zoomScale="85" zoomScaleNormal="85" workbookViewId="0">
      <selection activeCell="D23" sqref="D23"/>
    </sheetView>
  </sheetViews>
  <sheetFormatPr defaultColWidth="8.7265625" defaultRowHeight="13.5"/>
  <cols>
    <col min="1" max="1" width="2" style="152" customWidth="1"/>
    <col min="2" max="2" width="15.54296875" style="152" customWidth="1"/>
    <col min="3" max="3" width="41.7265625" style="152" customWidth="1"/>
    <col min="4" max="4" width="55.54296875" style="152" customWidth="1"/>
    <col min="5" max="5" width="2.7265625" style="152" customWidth="1"/>
    <col min="6" max="6" width="8.7265625" style="152" customWidth="1"/>
    <col min="7" max="15" width="8.7265625" style="152"/>
    <col min="16" max="16" width="8.7265625" style="152" customWidth="1"/>
    <col min="17" max="18" width="8.7265625" style="152"/>
    <col min="19" max="19" width="9.7265625" style="152" customWidth="1"/>
    <col min="20" max="16384" width="8.7265625" style="152"/>
  </cols>
  <sheetData>
    <row r="2" spans="2:4" ht="15.75" customHeight="1" thickBot="1"/>
    <row r="3" spans="2:4" ht="31.15" customHeight="1" thickTop="1">
      <c r="C3" s="254" t="s">
        <v>1</v>
      </c>
      <c r="D3" s="255"/>
    </row>
    <row r="4" spans="2:4" ht="31.15" customHeight="1" thickBot="1">
      <c r="C4" s="256"/>
      <c r="D4" s="257"/>
    </row>
    <row r="5" spans="2:4" ht="42" customHeight="1" thickBot="1">
      <c r="C5" s="260" t="s">
        <v>2</v>
      </c>
      <c r="D5" s="261"/>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8" t="s">
        <v>4</v>
      </c>
      <c r="D15" s="259"/>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962</v>
      </c>
      <c r="G23" s="164"/>
      <c r="H23" s="165"/>
      <c r="I23" s="165"/>
      <c r="J23" s="165"/>
      <c r="K23" s="165"/>
      <c r="L23" s="165"/>
      <c r="M23" s="165"/>
      <c r="N23" s="165"/>
      <c r="O23" s="165"/>
      <c r="P23" s="165"/>
    </row>
    <row r="24" spans="2:16" ht="20.25" customHeight="1">
      <c r="B24" s="166"/>
      <c r="C24" s="262" t="s">
        <v>880</v>
      </c>
      <c r="D24" s="263"/>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EXTENDED</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No</v>
      </c>
    </row>
    <row r="33" spans="3:4" ht="35.25" customHeight="1" thickTop="1" thickBot="1">
      <c r="C33" s="252"/>
      <c r="D33" s="253"/>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88" r:id="rId4" name="CommandButton1">
          <controlPr locked="0" defaultSize="0" autoFill="0" autoLine="0" altText="" r:id="rId5">
            <anchor moveWithCells="1">
              <from>
                <xdr:col>3</xdr:col>
                <xdr:colOff>723900</xdr:colOff>
                <xdr:row>5</xdr:row>
                <xdr:rowOff>57150</xdr:rowOff>
              </from>
              <to>
                <xdr:col>3</xdr:col>
                <xdr:colOff>3295650</xdr:colOff>
                <xdr:row>5</xdr:row>
                <xdr:rowOff>342900</xdr:rowOff>
              </to>
            </anchor>
          </controlPr>
        </control>
      </mc:Choice>
      <mc:Fallback>
        <control shapeId="3088" r:id="rId4" name="CommandButton1"/>
      </mc:Fallback>
    </mc:AlternateContent>
    <mc:AlternateContent xmlns:mc="http://schemas.openxmlformats.org/markup-compatibility/2006">
      <mc:Choice Requires="x14">
        <control shapeId="3092" r:id="rId6" name="tbDSTMsg">
          <controlPr locked="0" defaultSize="0" autoLine="0" autoPict="0" r:id="rId7">
            <anchor moveWithCells="1">
              <from>
                <xdr:col>2</xdr:col>
                <xdr:colOff>107950</xdr:colOff>
                <xdr:row>15</xdr:row>
                <xdr:rowOff>19050</xdr:rowOff>
              </from>
              <to>
                <xdr:col>3</xdr:col>
                <xdr:colOff>3619500</xdr:colOff>
                <xdr:row>21</xdr:row>
                <xdr:rowOff>171450</xdr:rowOff>
              </to>
            </anchor>
          </controlPr>
        </control>
      </mc:Choice>
      <mc:Fallback>
        <control shapeId="3092" r:id="rId6" name="tbDSTMsg"/>
      </mc:Fallback>
    </mc:AlternateContent>
    <mc:AlternateContent xmlns:mc="http://schemas.openxmlformats.org/markup-compatibility/2006">
      <mc:Choice Requires="x14">
        <control shapeId="3095" r:id="rId8" name="CommandButton2">
          <controlPr locked="0" defaultSize="0" autoFill="0" autoLine="0" altText="" r:id="rId9">
            <anchor moveWithCells="1">
              <from>
                <xdr:col>3</xdr:col>
                <xdr:colOff>831850</xdr:colOff>
                <xdr:row>32</xdr:row>
                <xdr:rowOff>76200</xdr:rowOff>
              </from>
              <to>
                <xdr:col>3</xdr:col>
                <xdr:colOff>3048000</xdr:colOff>
                <xdr:row>32</xdr:row>
                <xdr:rowOff>355600</xdr:rowOff>
              </to>
            </anchor>
          </controlPr>
        </control>
      </mc:Choice>
      <mc:Fallback>
        <control shapeId="3095" r:id="rId8" name="CommandButton2"/>
      </mc:Fallback>
    </mc:AlternateContent>
    <mc:AlternateContent xmlns:mc="http://schemas.openxmlformats.org/markup-compatibility/2006">
      <mc:Choice Requires="x14">
        <control shapeId="3096" r:id="rId10" name="CommandButton3">
          <controlPr locked="0" defaultSize="0" autoFill="0" autoLine="0" altText="" r:id="rId11">
            <anchor moveWithCells="1">
              <from>
                <xdr:col>2</xdr:col>
                <xdr:colOff>552450</xdr:colOff>
                <xdr:row>32</xdr:row>
                <xdr:rowOff>76200</xdr:rowOff>
              </from>
              <to>
                <xdr:col>3</xdr:col>
                <xdr:colOff>133350</xdr:colOff>
                <xdr:row>32</xdr:row>
                <xdr:rowOff>393700</xdr:rowOff>
              </to>
            </anchor>
          </controlPr>
        </control>
      </mc:Choice>
      <mc:Fallback>
        <control shapeId="3096" r:id="rId10" name="CommandButton3"/>
      </mc:Fallback>
    </mc:AlternateContent>
  </controls>
</worksheet>
</file>

<file path=xl/worksheets/sheet3.xml><?xml version="1.0" encoding="utf-8"?>
<worksheet xmlns="http://schemas.openxmlformats.org/spreadsheetml/2006/main" xmlns:ns1="http://schemas.openxmlformats.org/markup-compatibility/2006" xmlns:ns2="http://schemas.microsoft.com/office/spreadsheetml/2014/revision" xmlns:ns4="http://schemas.openxmlformats.org/drawingml/2006/spreadsheetDrawing" xmlns:ns5="http://schemas.microsoft.com/office/spreadsheetml/2009/9/main" xmlns:ns6="http://schemas.microsoft.com/office/excel/2006/main" xmlns:r="http://schemas.openxmlformats.org/officeDocument/2006/relationships" ns1:Ignorable="x14ac xr xr2 xr3" ns2:uid="{A2FC7B08-77CC-4797-80B6-652FBD2D666F}">
  <sheetPr codeName="Sheet1"/>
  <dimension ref="A1:K464"/>
  <sheetViews>
    <sheetView showGridLines="0" tabSelected="1" topLeftCell="A11" zoomScale="85" zoomScaleNormal="55" workbookViewId="0">
      <selection activeCell="C14" sqref="C14"/>
    </sheetView>
  </sheetViews>
  <sheetFormatPr defaultColWidth="9.26953125" defaultRowHeight="13.5" outlineLevelRow="2"/>
  <cols>
    <col min="1" max="1" width="40.453125" style="85" customWidth="1"/>
    <col min="2" max="2" width="81.453125" style="85" customWidth="1"/>
    <col min="3" max="3" width="100.7265625" style="86" customWidth="1"/>
    <col min="4" max="4" width="43.453125" style="86" customWidth="1"/>
    <col min="5" max="5" width="58.54296875" style="85" bestFit="1" customWidth="1"/>
    <col min="6" max="6" width="23.26953125" style="85" customWidth="1"/>
    <col min="7" max="7" width="36.26953125" style="85" customWidth="1"/>
    <col min="8" max="8" width="32" style="85" customWidth="1"/>
    <col min="9" max="9" width="18.54296875" style="85" customWidth="1"/>
    <col min="10" max="16384" width="9.2695312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65" customHeight="1">
      <c r="A11" s="84" t="s">
        <v>1102</v>
      </c>
      <c r="B11" s="84"/>
      <c r="C11" s="84"/>
      <c r="D11" s="84"/>
      <c r="E11" s="84"/>
      <c r="F11" s="84"/>
      <c r="G11" s="84"/>
      <c r="H11" s="84"/>
    </row>
    <row r="12" spans="1:11" ht="14.65" customHeight="1">
      <c r="A12" s="215" t="s">
        <v>1505</v>
      </c>
      <c r="B12" s="215"/>
      <c r="C12" s="215"/>
      <c r="D12" s="215"/>
      <c r="E12" s="215"/>
      <c r="F12" s="215"/>
      <c r="G12" s="215"/>
      <c r="H12" s="215"/>
    </row>
    <row r="13" spans="1:11" ht="17.5">
      <c r="A13" s="216" t="s">
        <v>912</v>
      </c>
      <c r="B13" s="216"/>
      <c r="C13" s="216"/>
      <c r="D13" s="216"/>
      <c r="E13" s="216"/>
      <c r="F13" s="216"/>
      <c r="G13" s="216"/>
      <c r="H13" s="216"/>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A3CY135BM16AE6S</v>
      </c>
      <c r="D16" s="89"/>
      <c r="E16" s="143">
        <f t="shared" ref="E16:E21" si="0">COUNTIF($D$1:$D$538,F16)</f>
        <v>71</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9</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0</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102</v>
      </c>
      <c r="D24" s="89"/>
      <c r="E24" s="134"/>
      <c r="F24" s="140"/>
      <c r="G24" s="78"/>
      <c r="H24" s="78"/>
    </row>
    <row r="25" spans="1:11">
      <c r="A25" s="78"/>
      <c r="B25" s="132"/>
      <c r="C25" s="133"/>
      <c r="D25" s="89"/>
      <c r="E25" s="134"/>
      <c r="F25" s="140"/>
      <c r="G25" s="78"/>
      <c r="H25" s="78"/>
    </row>
    <row r="26" spans="1:11">
      <c r="A26" s="78"/>
      <c r="B26" s="127" t="s">
        <v>27</v>
      </c>
      <c r="C26" s="129" t="s">
        <v>1504</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4" t="str">
        <f>IF(COUNTIF(lstVerifiedVR,var_PWR_VR)=1,IF(var_PWR_VR="OTHERS",MSG!D71,MSG!D70),"")</f>
        <v/>
      </c>
      <c r="D32" s="214"/>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1507</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1507</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1508</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1509</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inlineStr">
        <is>
          <t>WARNING: Schematic shows VCCH_SDM on the 0.78 V/FP_VCC domain. Agilex 3 guideline 846812 says VCCH_SDM must sense VCCERT_GTS (1.0 V) for devices with transceiver; verify final GTS power-down/use case and correct if VCCERT is powered.</t>
        </is>
      </c>
      <c r="D39" s="96" t="inlineStr">
        <is>
          <t>WARNING</t>
        </is>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1511</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1512</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1513</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1514</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1515</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1516</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1517</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1518</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1519</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1520</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1521</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1520</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1513</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1522</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1523</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1523</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inlineStr">
        <is>
          <t>ERROR: A3CY135B M16A pinout lists only R22/P22 as VCCEHT_GTSL1A, but schematic U35M labels N22/M22/L22 as VCCEHT_GTSL1A_2/3/4. Correct the FPGA symbol/net labels and re-check the VCCEHT connection.</t>
        </is>
      </c>
      <c r="D56" s="96" t="inlineStr">
        <is>
          <t>ERROR</t>
        </is>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inlineStr">
        <is>
          <t>ERROR: A3CY135B M16A pinout lists N22/M22/L22 as VCCERT_GTSL1A. Schematic currently labels those balls as VCCEHT; correct them to VCCERT and verify 1.0 V supply or allowed GND power-down plus VCCH_SDM sense.</t>
        </is>
      </c>
      <c r="D57" s="97" t="inlineStr">
        <is>
          <t>ERROR</t>
        </is>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27.5" outlineLevel="2" thickBot="1">
      <c r="A61" s="81" t="s">
        <v>54</v>
      </c>
      <c r="B61" s="173" t="str">
        <f>IF(varHasHPS="Yes",IFERROR(VLOOKUP(tblCHKPWRHPS[[#This Row],[Pin Name]],tblPWR[],4,FALSE),MSG!$B$10),MSG!$D$60)</f>
        <v>HPS is not available in the selected device.</v>
      </c>
      <c r="C61" s="96"/>
      <c r="D61" s="96"/>
      <c r="E61" s="173" t="str">
        <f>IF(varHasHPS="Yes",IFERROR(VLOOKUP(tblCHKPWRHPS[[#This Row],[Pin Name]],tblPWR[],3,FALSE),MSG!$B$10),MSG!$D$60)</f>
        <v>HPS is not available in the selected device.</v>
      </c>
      <c r="F61" s="81" t="str">
        <f>IF(varHasHPS="Yes",IFERROR(VLOOKUP(tblCHKPWRHPS[[#This Row],[Pin Name]],tblPWR[],5,FALSE),MSG!$B$10),MSG!$D$60)</f>
        <v>HPS is not available in the selected device.</v>
      </c>
      <c r="G61" s="81" t="str">
        <f>IF(varHasHPS="Yes",IFERROR(VLOOKUP(tblCHKPWRHPS[[#This Row],[Pin Name]],tblPWR_DCP[],2,FALSE),MSG!$D$10),MSG!$D$60)</f>
        <v>HPS is not available in the selected device.</v>
      </c>
      <c r="H61" s="81" t="str">
        <f>IF(varHasHPS="Yes",IFERROR(VLOOKUP(tblCHKPWRHPS[[#This Row],[Pin Name]],tblPWR_DCP[],3,FALSE),MSG!$D$10),MSG!$D$60)</f>
        <v>HPS is not available in the selected device.</v>
      </c>
    </row>
    <row r="62" spans="1:8" ht="27.5" outlineLevel="2" thickBot="1">
      <c r="A62" s="81" t="s">
        <v>696</v>
      </c>
      <c r="B62" s="173" t="str">
        <f>IF(varHasHPS="Yes",IFERROR(VLOOKUP(tblCHKPWRHPS[[#This Row],[Pin Name]],tblPWR[],4,FALSE),MSG!$B$10),MSG!$D$60)</f>
        <v>HPS is not available in the selected device.</v>
      </c>
      <c r="C62" s="96"/>
      <c r="D62" s="96"/>
      <c r="E62" s="173" t="str">
        <f>IF(varHasHPS="Yes",IFERROR(VLOOKUP(tblCHKPWRHPS[[#This Row],[Pin Name]],tblPWR[],3,FALSE),MSG!$B$10),MSG!$D$60)</f>
        <v>HPS is not available in the selected device.</v>
      </c>
      <c r="F62" s="81" t="str">
        <f>IF(varHasHPS="Yes",IFERROR(VLOOKUP(tblCHKPWRHPS[[#This Row],[Pin Name]],tblPWR[],5,FALSE),MSG!$B$10),MSG!$D$60)</f>
        <v>HPS is not available in the selected device.</v>
      </c>
      <c r="G62" s="81" t="str">
        <f>IF(varHasHPS="Yes",IFERROR(VLOOKUP(tblCHKPWRHPS[[#This Row],[Pin Name]],tblPWR_DCP[],2,FALSE),MSG!$D$10),MSG!$D$60)</f>
        <v>HPS is not available in the selected device.</v>
      </c>
      <c r="H62" s="81" t="str">
        <f>IF(varHasHPS="Yes",IFERROR(VLOOKUP(tblCHKPWRHPS[[#This Row],[Pin Name]],tblPWR_DCP[],3,FALSE),MSG!$D$10),MSG!$D$60)</f>
        <v>HPS is not available in the selected device.</v>
      </c>
    </row>
    <row r="63" spans="1:8" ht="27.5" outlineLevel="2" thickBot="1">
      <c r="A63" s="81" t="s">
        <v>55</v>
      </c>
      <c r="B63" s="173" t="str">
        <f>IF(varHasHPS="Yes",IFERROR(VLOOKUP(tblCHKPWRHPS[[#This Row],[Pin Name]],tblPWR[],4,FALSE),MSG!$B$10),MSG!$D$60)</f>
        <v>HPS is not available in the selected device.</v>
      </c>
      <c r="C63" s="96"/>
      <c r="D63" s="96"/>
      <c r="E63" s="173" t="str">
        <f>IF(varHasHPS="Yes",IFERROR(VLOOKUP(tblCHKPWRHPS[[#This Row],[Pin Name]],tblPWR[],3,FALSE),MSG!$B$10),MSG!$D$60)</f>
        <v>HPS is not available in the selected device.</v>
      </c>
      <c r="F63" s="81" t="str">
        <f>IF(varHasHPS="Yes",IFERROR(VLOOKUP(tblCHKPWRHPS[[#This Row],[Pin Name]],tblPWR[],5,FALSE),MSG!$B$10),MSG!$D$60)</f>
        <v>HPS is not available in the selected device.</v>
      </c>
      <c r="G63" s="81" t="str">
        <f>IF(varHasHPS="Yes",IFERROR(VLOOKUP(tblCHKPWRHPS[[#This Row],[Pin Name]],tblPWR_DCP[],2,FALSE),MSG!$D$10),MSG!$D$60)</f>
        <v>HPS is not available in the selected device.</v>
      </c>
      <c r="H63" s="81" t="str">
        <f>IF(varHasHPS="Yes",IFERROR(VLOOKUP(tblCHKPWRHPS[[#This Row],[Pin Name]],tblPWR_DCP[],3,FALSE),MSG!$D$10),MSG!$D$60)</f>
        <v>HPS is not available in the selected device.</v>
      </c>
    </row>
    <row r="64" spans="1:8" ht="27.5" outlineLevel="2" thickBot="1">
      <c r="A64" s="81" t="s">
        <v>1462</v>
      </c>
      <c r="B64" s="173" t="str">
        <f>IF(varHasHPS="Yes",IFERROR(VLOOKUP(tblCHKPWRHPS[[#This Row],[Pin Name]],tblPWR[],4,FALSE),MSG!$B$10),MSG!$D$60)</f>
        <v>HPS is not available in the selected device.</v>
      </c>
      <c r="C64" s="96"/>
      <c r="D64" s="96"/>
      <c r="E64" s="173" t="str">
        <f>IF(varHasHPS="Yes",IFERROR(VLOOKUP(tblCHKPWRHPS[[#This Row],[Pin Name]],tblPWR[],3,FALSE),MSG!$B$10),MSG!$D$60)</f>
        <v>HPS is not available in the selected device.</v>
      </c>
      <c r="F64" s="81" t="str">
        <f>IF(varHasHPS="Yes",IFERROR(VLOOKUP(tblCHKPWRHPS[[#This Row],[Pin Name]],tblPWR[],5,FALSE),MSG!$B$10),MSG!$D$60)</f>
        <v>HPS is not available in the selected device.</v>
      </c>
      <c r="G64" s="81" t="str">
        <f>IF(varHasHPS="Yes",IFERROR(VLOOKUP(tblCHKPWRHPS[[#This Row],[Pin Name]],tblPWR_DCP[],2,FALSE),MSG!$D$10),MSG!$D$60)</f>
        <v>HPS is not available in the selected device.</v>
      </c>
      <c r="H64" s="81" t="str">
        <f>IF(varHasHPS="Yes",IFERROR(VLOOKUP(tblCHKPWRHPS[[#This Row],[Pin Name]],tblPWR_DCP[],3,FALSE),MSG!$D$10),MSG!$D$60)</f>
        <v>HPS is not available in the selected device.</v>
      </c>
    </row>
    <row r="65" spans="1:8" ht="27.5" outlineLevel="2" thickBot="1">
      <c r="A65" s="81" t="s">
        <v>1463</v>
      </c>
      <c r="B65" s="173" t="str">
        <f>IF(varHasHPS="Yes",IFERROR(VLOOKUP(tblCHKPWRHPS[[#This Row],[Pin Name]],tblPWR[],4,FALSE),MSG!$B$10),MSG!$D$60)</f>
        <v>HPS is not available in the selected device.</v>
      </c>
      <c r="C65" s="97"/>
      <c r="D65" s="96"/>
      <c r="E65" s="173" t="str">
        <f>IF(varHasHPS="Yes",IFERROR(VLOOKUP(tblCHKPWRHPS[[#This Row],[Pin Name]],tblPWR[],3,FALSE),MSG!$B$10),MSG!$D$60)</f>
        <v>HPS is not available in the selected device.</v>
      </c>
      <c r="F65" s="81" t="str">
        <f>IF(varHasHPS="Yes",IFERROR(VLOOKUP(tblCHKPWRHPS[[#This Row],[Pin Name]],tblPWR[],5,FALSE),MSG!$B$10),MSG!$D$60)</f>
        <v>HPS is not available in the selected device.</v>
      </c>
      <c r="G65" s="81" t="str">
        <f>IF(varHasHPS="Yes",IFERROR(VLOOKUP(tblCHKPWRHPS[[#This Row],[Pin Name]],tblPWR_DCP[],2,FALSE),MSG!$D$10),MSG!$D$60)</f>
        <v>HPS is not available in the selected device.</v>
      </c>
      <c r="H65" s="81" t="str">
        <f>IF(varHasHPS="Yes",IFERROR(VLOOKUP(tblCHKPWRHPS[[#This Row],[Pin Name]],tblPWR_DCP[],3,FALSE),MSG!$D$10),MSG!$D$60)</f>
        <v>HPS is not available in the selected device.</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s">
        <v>1525</v>
      </c>
      <c r="D82" s="104" t="s">
        <v>16</v>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1526</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s">
        <v>1527</v>
      </c>
      <c r="D84" s="104" t="s">
        <v>16</v>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68"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1528</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inlineStr">
        <is>
          <t>OK: nSTATUS is shown pulled up to VCCIO_SDM/1.8 V through 10 kOhm and available for configuration-status monitoring.</t>
        </is>
      </c>
      <c r="D86" s="104" t="inlineStr">
        <is>
          <t>OK</t>
        </is>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inlineStr">
        <is>
          <t>WARNING: nCONFIG has a 10 kOhm pull-up to VCCIO_SDM/1.8 V and external control circuitry. Verify power-good/reset circuit timing meets Agilex 3 configuration requirements before release.</t>
        </is>
      </c>
      <c r="D87" s="104" t="inlineStr">
        <is>
          <t>WARNING</t>
        </is>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s">
        <v>1531</v>
      </c>
      <c r="D88" s="104" t="s">
        <v>16</v>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c r="D89" s="104"/>
      <c r="E89" s="173" t="str">
        <f>IF($C$18="AVSTX16",IFERROR(VLOOKUP(tblCHKSDM[[#This Row],[Signal Name]],tblSDM[],3,FALSE),MSG!$B$10),"Unused")</f>
        <v>Unused</v>
      </c>
      <c r="F89" s="81" t="str">
        <f>tblCHKSDM[[#This Row],[Pin Name]]</f>
        <v>AVST_DATA[15:0]</v>
      </c>
    </row>
    <row r="90" spans="1:6" ht="14" outlineLevel="1" thickBot="1">
      <c r="A90" s="81" t="s">
        <v>1162</v>
      </c>
      <c r="B90" s="173" t="str">
        <f>IF($C$18="AVSTX16",IFERROR(VLOOKUP(tblCHKSDM[[#This Row],[Signal Name]],tblSDM[],4,FALSE),MSG!$B$10),"Unused")</f>
        <v>Unused</v>
      </c>
      <c r="C90" s="104"/>
      <c r="D90" s="104"/>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c r="D91" s="104"/>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c r="D92" s="104"/>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1532</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inlineStr">
        <is>
          <t>WARNING: SDM_IO0 is intended for INIT_DONE/SDM_INITDONE in the schematic. Verify Quartus enables the selected status function and that the board-level pull/LED/load is compatible with its internal pull-down at POR.</t>
        </is>
      </c>
      <c r="D94" s="104" t="inlineStr">
        <is>
          <t>WARNING</t>
        </is>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1536</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1537</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1535</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1534</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inlineStr">
        <is>
          <t>WARNING: SDM_IO5 is AS_nCSO0/MSEL0 and is shared with QSPI CS#. Verify the boot switch/resistor population forces the required AS MSEL0 level at POR and does not contend with the flash CS# after configuration.</t>
        </is>
      </c>
      <c r="D99" s="104" t="inlineStr">
        <is>
          <t>WARNING</t>
        </is>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1538</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inlineStr">
        <is>
          <t>WARNING: SDM_IO7/MSEL1 is connected to the boot-selection switch. Confirm the populated strap value matches the intended AS x4 boot mode at power-up/reset.</t>
        </is>
      </c>
      <c r="D101" s="104" t="inlineStr">
        <is>
          <t>WARNING</t>
        </is>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317</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inlineStr">
        <is>
          <t>WARNING: SDM_IO9/MSEL2 is connected to the boot-selection switch. Confirm the populated strap value matches the intended AS x4 boot mode at power-up/reset.</t>
        </is>
      </c>
      <c r="D103" s="104" t="inlineStr">
        <is>
          <t>WARNING</t>
        </is>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inlineStr">
        <is>
          <t>WARNING: SDM_IO10 optional function depends on MSEL/configuration mode. Schematic note says connected to JTAG-related pins; verify this is intentional and does not conflict with AS/QSPI or status functions.</t>
        </is>
      </c>
      <c r="D104" s="104" t="inlineStr">
        <is>
          <t>WARNING</t>
        </is>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317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317</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317</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317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inlineStr">
        <is>
          <t>WARNING: SDM_IO15 is AS_nRST and has an internal pull-up. Verify QSPI flash reset net QSPI_AS_NRST has the required external pull/state and does not release the flash before rails/configuration are valid.</t>
        </is>
      </c>
      <c r="D109" s="104" t="inlineStr">
        <is>
          <t>WARNING</t>
        </is>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inlineStr">
        <is>
          <t>WARNING: SDM_IO16 appears intended for CONF_DONE/SDM_DONE. Verify Quartus assignment and board-level pull/LED/load are compatible with the recommended CONF_DONE implementation.</t>
        </is>
      </c>
      <c r="D110" s="104" t="inlineStr">
        <is>
          <t>WARNING</t>
        </is>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1550</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1550</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1550</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inlineStr">
        <is>
          <t>OK: Voltage sensor is marked unused; VREFP_ADC is tied to GND in the schematic. If ADC/voltage monitoring is later used, replace with the required accurate 1.25 V reference network.</t>
        </is>
      </c>
      <c r="D122" s="90" t="inlineStr">
        <is>
          <t>OK</t>
        </is>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inlineStr">
        <is>
          <t>OK: Voltage sensor is marked unused; VREFN_ADC is tied to GND in the schematic. Re-check if ADC/voltage monitoring is enabled in a later revision.</t>
        </is>
      </c>
      <c r="D123" s="90" t="inlineStr">
        <is>
          <t>OK</t>
        </is>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inlineStr">
        <is>
          <t>OK: VSIGP[0,1] are tied to GND for unused voltage-sensor feature per checklist guidance.</t>
        </is>
      </c>
      <c r="D124" s="90" t="inlineStr">
        <is>
          <t>OK</t>
        </is>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inlineStr">
        <is>
          <t>OK: VSIGN[0,1] are tied to GND for unused voltage-sensor feature per checklist guidance.</t>
        </is>
      </c>
      <c r="D125" s="90" t="inlineStr">
        <is>
          <t>OK</t>
        </is>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inlineStr">
        <is>
          <t>OK: Temperature diode pins are NC. This matches the unused-temperature-sensor guidance; connect to an external sensor only if temperature monitoring is required.</t>
        </is>
      </c>
      <c r="D126" s="105" t="inlineStr">
        <is>
          <t>OK</t>
        </is>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49"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1542</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1543</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1544</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1545</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1545</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1545</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16</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1545</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1545</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1545</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77.25" customHeight="1"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inlineStr">
        <is>
          <t>WARNING: RCOMP_GTSL1A_P/N balls match M16A, but confirm usage. If GTS is used, connect P to N with 499 ohm +/-0.1% and route away from aggressors; if unused, document the allowed no-connect/tie-off.</t>
        </is>
      </c>
      <c r="D158" s="90" t="inlineStr">
        <is>
          <t>WARNING</t>
        </is>
      </c>
      <c r="E158" s="173" t="str">
        <f>IF($C$22="Yes",IFERROR(VLOOKUP(tblCHKXCVR[[#This Row],[Pin Name]],tblXCVR[],3,FALSE),MSG!$B$10),MSG!$H$10)</f>
        <v>External biasing resistors for GTS.</v>
      </c>
    </row>
    <row r="159" spans="1:5" ht="77.25" customHeight="1"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inlineStr">
        <is>
          <t>WARNING: RCOMP_GTSL1A_P/N balls match M16A, but confirm usage. If GTS is used, connect P to N with 499 ohm +/-0.1% and route away from aggressors; if unused, document the allowed no-connect/tie-off.</t>
        </is>
      </c>
      <c r="D159" s="90" t="inlineStr">
        <is>
          <t>WARNING</t>
        </is>
      </c>
      <c r="E159" s="173" t="str">
        <f>IF($C$22="Yes",IFERROR(VLOOKUP(tblCHKXCVR[[#This Row],[Pin Name]],tblXCVR[],3,FALSE),MSG!$B$10),MSG!$H$10)</f>
        <v>External biasing resistors for GTS.</v>
      </c>
    </row>
    <row r="160" spans="1:5" ht="57" customHeight="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inlineStr">
        <is>
          <t>WARNING: REFCLK_GTSL1A_CH1p/n are tied to GND as unused. Verify this follows the final GTS unused-pin guidance for the selected transceiver power-down choice.</t>
        </is>
      </c>
      <c r="D160" s="90" t="inlineStr">
        <is>
          <t>WARNING</t>
        </is>
      </c>
      <c r="E160" s="173" t="str">
        <f>IF($C$22="Yes",IFERROR(VLOOKUP(tblCHKXCVR[[#This Row],[Pin Name]],tblXCVR[],3,FALSE),MSG!$B$10),MSG!$H$10)</f>
        <v>Local reference clock pins for GTS transceiver banks.
For more information about the supported pins, refer to the device pin-out file.</v>
      </c>
    </row>
    <row r="161" spans="1:5" ht="45" customHeight="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inlineStr">
        <is>
          <t>WARNING: REFCLK_GTSL1A_CH1p/n are tied to GND as unused. Verify this follows the final GTS unused-pin guidance for the selected transceiver power-down choice.</t>
        </is>
      </c>
      <c r="D161" s="90" t="inlineStr">
        <is>
          <t>WARNING</t>
        </is>
      </c>
      <c r="E161" s="173" t="str">
        <f>IF($C$22="Yes",IFERROR(VLOOKUP(tblCHKXCVR[[#This Row],[Pin Name]],tblXCVR[],3,FALSE),MSG!$B$10),MSG!$H$10)</f>
        <v>Local reference clock pins for GTS transceiver banks.
For more information about the supported pins, refer to the device pin-out file.</v>
      </c>
    </row>
    <row r="162" spans="1:5" ht="45" customHeight="1" outlineLevel="1" thickBot="1">
      <c r="A162" s="81" t="s">
        <v>1009</v>
      </c>
      <c r="B162" s="173" t="str">
        <f>IF($C$22="Yes",IFERROR(VLOOKUP(tblCHKXCVR[[#This Row],[Pin Name]],tblXCVR[],4,FALSE),MSG!$B$10),MSG!$H$10)</f>
        <v>AC or DC coupled.
Leave unused pins floating.</v>
      </c>
      <c r="C162" s="90" t="s">
        <v>1548</v>
      </c>
      <c r="D162" s="90" t="s">
        <v>16</v>
      </c>
      <c r="E162" s="173" t="str">
        <f>IF($C$22="Yes",IFERROR(VLOOKUP(tblCHKXCVR[[#This Row],[Pin Name]],tblXCVR[],3,FALSE),MSG!$B$10),MSG!$H$10)</f>
        <v>CDR recovered clock output pins for GTS transceiver banks.
For more information about the supported pins, refer to the device pin-out file.</v>
      </c>
    </row>
    <row r="163" spans="1:5" ht="43.5" customHeight="1" outlineLevel="1" thickBot="1">
      <c r="A163" s="81" t="s">
        <v>1010</v>
      </c>
      <c r="B163" s="173" t="str">
        <f>IF($C$22="Yes",IFERROR(VLOOKUP(tblCHKXCVR[[#This Row],[Pin Name]],tblXCVR[],4,FALSE),MSG!$B$10),MSG!$H$10)</f>
        <v>AC or DC coupled.
Leave unused pins floating.</v>
      </c>
      <c r="C163" s="90" t="s">
        <v>1548</v>
      </c>
      <c r="D163" s="90" t="s">
        <v>16</v>
      </c>
      <c r="E163" s="173" t="str">
        <f>IF($C$22="Yes",IFERROR(VLOOKUP(tblCHKXCVR[[#This Row],[Pin Name]],tblXCVR[],3,FALSE),MSG!$B$10),MSG!$H$10)</f>
        <v>CDR recovered clock output pins for GTS transceiver banks.
For more information about the supported pins, refer to the device pin-out file.</v>
      </c>
    </row>
    <row r="164" spans="1:5" ht="51.75" customHeight="1"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inlineStr">
        <is>
          <t>WARNING: REFCLK_GTSL1A_RX_P/N are tied to GND as unused. Verify against final GTS unused-pin guidance and power-down choice.</t>
        </is>
      </c>
      <c r="D164" s="90" t="inlineStr">
        <is>
          <t>WARNING</t>
        </is>
      </c>
      <c r="E164" s="173" t="str">
        <f>IF($C$22="Yes",IFERROR(VLOOKUP(tblCHKXCVR[[#This Row],[Pin Name]],tblXCVR[],3,FALSE),MSG!$B$10),MSG!$H$10)</f>
        <v>Regional reference clock input pins for GTS transceiver banks.
For more information about the supported pins, refer to the device pin-out file.</v>
      </c>
    </row>
    <row r="165" spans="1:5" ht="44.25" customHeight="1"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inlineStr">
        <is>
          <t>WARNING: REFCLK_GTSL1A_RX_P/N are tied to GND as unused. Verify against final GTS unused-pin guidance and power-down choice.</t>
        </is>
      </c>
      <c r="D165" s="90" t="inlineStr">
        <is>
          <t>WARNING</t>
        </is>
      </c>
      <c r="E165" s="173" t="str">
        <f>IF($C$22="Yes",IFERROR(VLOOKUP(tblCHKXCVR[[#This Row],[Pin Name]],tblXCVR[],3,FALSE),MSG!$B$10),MSG!$H$10)</f>
        <v>Regional reference clock input pins for GTS transceiver banks.
For more information about the supported pins, refer to the device pin-out file.</v>
      </c>
    </row>
    <row r="166" spans="1:5" ht="34.5" customHeight="1" outlineLevel="1" thickBot="1">
      <c r="A166" s="81" t="s">
        <v>1014</v>
      </c>
      <c r="B166" s="173" t="str">
        <f>IF($C$22="Yes",IFERROR(VLOOKUP(tblCHKXCVR[[#This Row],[Pin Name]],tblXCVR[],4,FALSE),MSG!$B$10),MSG!$H$10)</f>
        <v>AC or DC coupled.
Tie to GND if these pins are not used.</v>
      </c>
      <c r="C166" s="90" t="inlineStr">
        <is>
          <t>OK: Unused GTS RX inputs are tied to GND, consistent with checklist guidance for unused RX inputs; verify layout implements short quiet returns.</t>
        </is>
      </c>
      <c r="D166" s="90" t="inlineStr">
        <is>
          <t>OK</t>
        </is>
      </c>
      <c r="E166" s="173" t="str">
        <f>IF($C$22="Yes",IFERROR(VLOOKUP(tblCHKXCVR[[#This Row],[Pin Name]],tblXCVR[],3,FALSE),MSG!$B$10),MSG!$H$10)</f>
        <v>GTS transceiver input pins.
For more information about the supported pins, refer to the device pin-out file.</v>
      </c>
    </row>
    <row r="167" spans="1:5" ht="33.75" customHeight="1" outlineLevel="1" thickBot="1">
      <c r="A167" s="81" t="s">
        <v>1015</v>
      </c>
      <c r="B167" s="173" t="str">
        <f>IF($C$22="Yes",IFERROR(VLOOKUP(tblCHKXCVR[[#This Row],[Pin Name]],tblXCVR[],4,FALSE),MSG!$B$10),MSG!$H$10)</f>
        <v>AC or DC coupled.
Tie to GND if these pins are not used.</v>
      </c>
      <c r="C167" s="90" t="inlineStr">
        <is>
          <t>OK: Unused GTS RX inputs are tied to GND, consistent with checklist guidance for unused RX inputs; verify layout implements short quiet returns.</t>
        </is>
      </c>
      <c r="D167" s="90" t="inlineStr">
        <is>
          <t>OK</t>
        </is>
      </c>
      <c r="E167" s="173" t="str">
        <f>IF($C$22="Yes",IFERROR(VLOOKUP(tblCHKXCVR[[#This Row],[Pin Name]],tblXCVR[],3,FALSE),MSG!$B$10),MSG!$H$10)</f>
        <v>GTS transceiver input pins.
For more information about the supported pins, refer to the device pin-out file.</v>
      </c>
    </row>
    <row r="168" spans="1:5" ht="28.5" customHeight="1" outlineLevel="1" thickBot="1">
      <c r="A168" s="81" t="s">
        <v>1016</v>
      </c>
      <c r="B168" s="173" t="str">
        <f>IF($C$22="Yes",IFERROR(VLOOKUP(tblCHKXCVR[[#This Row],[Pin Name]],tblXCVR[],4,FALSE),MSG!$B$10),MSG!$H$10)</f>
        <v>AC or DC coupled.
Leave unused pins floating.</v>
      </c>
      <c r="C168" s="90" t="s">
        <v>1548</v>
      </c>
      <c r="D168" s="90" t="s">
        <v>16</v>
      </c>
      <c r="E168" s="173" t="str">
        <f>IF($C$22="Yes",IFERROR(VLOOKUP(tblCHKXCVR[[#This Row],[Pin Name]],tblXCVR[],3,FALSE),MSG!$B$10),MSG!$H$10)</f>
        <v>GTS transceiver output pins.
For more information about the supported pins, refer to the device pin-out file.</v>
      </c>
    </row>
    <row r="169" spans="1:5" ht="39" customHeight="1" outlineLevel="1" thickBot="1">
      <c r="A169" s="81" t="s">
        <v>1017</v>
      </c>
      <c r="B169" s="173" t="str">
        <f>IF($C$22="Yes",IFERROR(VLOOKUP(tblCHKXCVR[[#This Row],[Pin Name]],tblXCVR[],4,FALSE),MSG!$B$10),MSG!$H$10)</f>
        <v>AC or DC coupled.
Leave unused pins floating.</v>
      </c>
      <c r="C169" s="90" t="s">
        <v>1548</v>
      </c>
      <c r="D169" s="90" t="s">
        <v>16</v>
      </c>
      <c r="E169" s="173" t="str">
        <f>IF($C$22="Yes",IFERROR(VLOOKUP(tblCHKXCVR[[#This Row],[Pin Name]],tblXCVR[],3,FALSE),MSG!$B$10),MSG!$H$10)</f>
        <v>GTS transceiver output pins.
For more information about the supported pins, refer to the device pin-out file.</v>
      </c>
    </row>
    <row r="170" spans="1:5" ht="38.25" customHeight="1" outlineLevel="1" thickBot="1">
      <c r="A170" s="81" t="s">
        <v>1018</v>
      </c>
      <c r="B170" s="173" t="str">
        <f>IF($C$22="Yes",IFERROR(VLOOKUP(tblCHKXCVR[[#This Row],[Pin Name]],tblXCVR[],4,FALSE),MSG!$B$10),MSG!$H$10)</f>
        <v>Leave these pins floating.</v>
      </c>
      <c r="C170" s="90" t="s">
        <v>1548</v>
      </c>
      <c r="D170" s="90" t="s">
        <v>16</v>
      </c>
      <c r="E170" s="173" t="str">
        <f>IF($C$22="Yes",IFERROR(VLOOKUP(tblCHKXCVR[[#This Row],[Pin Name]],tblXCVR[],3,FALSE),MSG!$B$10),MSG!$H$10)</f>
        <v>—</v>
      </c>
    </row>
    <row r="171" spans="1:5" ht="28.5" customHeight="1" outlineLevel="1" thickBot="1">
      <c r="A171" s="81" t="s">
        <v>1019</v>
      </c>
      <c r="B171" s="173" t="str">
        <f>IF($C$22="Yes",IFERROR(VLOOKUP(tblCHKXCVR[[#This Row],[Pin Name]],tblXCVR[],4,FALSE),MSG!$B$10),MSG!$H$10)</f>
        <v>Leave these pins floating.</v>
      </c>
      <c r="C171" s="90" t="s">
        <v>1548</v>
      </c>
      <c r="D171" s="90" t="s">
        <v>16</v>
      </c>
      <c r="E171" s="173" t="str">
        <f>IF($C$22="Yes",IFERROR(VLOOKUP(tblCHKXCVR[[#This Row],[Pin Name]],tblXCVR[],3,FALSE),MSG!$B$10),MSG!$H$10)</f>
        <v>—</v>
      </c>
    </row>
    <row r="174" spans="1:5">
      <c r="A174" s="82" t="s">
        <v>103</v>
      </c>
      <c r="B174" s="172"/>
      <c r="C174" s="82"/>
      <c r="D174" s="82"/>
      <c r="E174" s="172"/>
    </row>
    <row r="175" spans="1:5" ht="15.5" hidden="1" outlineLevel="1" thickBot="1">
      <c r="A175" s="110"/>
      <c r="B175" s="111"/>
      <c r="C175" s="112"/>
      <c r="D175" s="112"/>
      <c r="E175" s="111"/>
    </row>
    <row r="176" spans="1:5" ht="14" hidden="1" outlineLevel="1" thickBot="1">
      <c r="A176" s="83" t="s">
        <v>639</v>
      </c>
      <c r="B176" s="113" t="s">
        <v>102</v>
      </c>
      <c r="C176" s="106"/>
      <c r="D176" s="106"/>
      <c r="E176" s="94"/>
    </row>
    <row r="177" spans="1:5" hidden="1" outlineLevel="1">
      <c r="A177" s="114"/>
      <c r="B177" s="115"/>
      <c r="C177" s="106"/>
      <c r="D177" s="106"/>
      <c r="E177" s="94"/>
    </row>
    <row r="178" spans="1:5" ht="14" hidden="1" outlineLevel="1" thickBot="1">
      <c r="A178" s="116"/>
      <c r="B178" s="117"/>
    </row>
    <row r="179" spans="1:5" ht="14" hidden="1" outlineLevel="1" thickBot="1">
      <c r="A179" s="83" t="s">
        <v>673</v>
      </c>
      <c r="B179" s="118"/>
      <c r="C179" s="118"/>
      <c r="D179" s="118"/>
      <c r="E179" s="119"/>
    </row>
    <row r="180" spans="1:5" ht="14" hidden="1" outlineLevel="2" thickBot="1">
      <c r="A180" s="83" t="s">
        <v>30</v>
      </c>
      <c r="B180" s="83" t="s">
        <v>31</v>
      </c>
      <c r="C180" s="83" t="s">
        <v>32</v>
      </c>
      <c r="D180" s="83" t="s">
        <v>33</v>
      </c>
      <c r="E180" s="83" t="s">
        <v>34</v>
      </c>
    </row>
    <row r="181" spans="1:5" ht="14" hidden="1" outlineLevel="2" thickBot="1">
      <c r="A181" s="81" t="s">
        <v>107</v>
      </c>
      <c r="B181" s="173" t="str">
        <f>IF(AND($C$24="Yes",$B$176="Yes"),IFERROR(VLOOKUP(tblCHKLPDDR4PIN[[#This Row],[Pin Name]],tblLPDDR4[],2,FALSE),MSG!$B$10),MSG!$I$40)</f>
        <v>LPDDR4 is not used.</v>
      </c>
      <c r="C181" s="96"/>
      <c r="D181" s="96"/>
      <c r="E181" s="173" t="str">
        <f>IF(AND($C$24="Yes",$B$176="Yes"),IFERROR(VLOOKUP(tblCHKLPDDR4PIN[[#This Row],[Pin Name]],tblLPDDR4[],3,FALSE),MSG!$B$10),MSG!$I$40)</f>
        <v>LPDDR4 is not used.</v>
      </c>
    </row>
    <row r="182" spans="1:5" ht="14" hidden="1" outlineLevel="2" thickBot="1">
      <c r="A182" s="81" t="s">
        <v>897</v>
      </c>
      <c r="B182" s="173" t="str">
        <f>IF(AND($C$24="Yes",$B$176="Yes"),IFERROR(VLOOKUP(tblCHKLPDDR4PIN[[#This Row],[Pin Name]],tblLPDDR4[],2,FALSE),MSG!$B$10),MSG!$I$40)</f>
        <v>LPDDR4 is not used.</v>
      </c>
      <c r="C182" s="96"/>
      <c r="D182" s="96"/>
      <c r="E182" s="173" t="str">
        <f>IF(AND($C$24="Yes",$B$176="Yes"),IFERROR(VLOOKUP(tblCHKLPDDR4PIN[[#This Row],[Pin Name]],tblLPDDR4[],3,FALSE),MSG!$B$10),MSG!$I$40)</f>
        <v>LPDDR4 is not used.</v>
      </c>
    </row>
    <row r="183" spans="1:5" ht="14" hidden="1" outlineLevel="2" thickBot="1">
      <c r="A183" s="81" t="s">
        <v>663</v>
      </c>
      <c r="B183" s="173" t="str">
        <f>IF(AND($C$24="Yes",$B$176="Yes"),IFERROR(VLOOKUP(tblCHKLPDDR4PIN[[#This Row],[Pin Name]],tblLPDDR4[],2,FALSE),MSG!$B$10),MSG!$I$40)</f>
        <v>LPDDR4 is not used.</v>
      </c>
      <c r="C183" s="96"/>
      <c r="D183" s="96"/>
      <c r="E183" s="173" t="str">
        <f>IF(AND($C$24="Yes",$B$176="Yes"),IFERROR(VLOOKUP(tblCHKLPDDR4PIN[[#This Row],[Pin Name]],tblLPDDR4[],3,FALSE),MSG!$B$10),MSG!$I$40)</f>
        <v>LPDDR4 is not used.</v>
      </c>
    </row>
    <row r="184" spans="1:5" ht="14" hidden="1" outlineLevel="2" thickBot="1">
      <c r="A184" s="81" t="s">
        <v>623</v>
      </c>
      <c r="B184" s="173" t="str">
        <f>IF(AND($C$24="Yes",$B$176="Yes"),IFERROR(VLOOKUP(tblCHKLPDDR4PIN[[#This Row],[Pin Name]],tblLPDDR4[],2,FALSE),MSG!$B$10),MSG!$I$40)</f>
        <v>LPDDR4 is not used.</v>
      </c>
      <c r="C184" s="96"/>
      <c r="D184" s="96"/>
      <c r="E184" s="173" t="str">
        <f>IF(AND($C$24="Yes",$B$176="Yes"),IFERROR(VLOOKUP(tblCHKLPDDR4PIN[[#This Row],[Pin Name]],tblLPDDR4[],3,FALSE),MSG!$B$10),MSG!$I$40)</f>
        <v>LPDDR4 is not used.</v>
      </c>
    </row>
    <row r="185" spans="1:5" ht="14" hidden="1" outlineLevel="2" thickBot="1">
      <c r="A185" s="81" t="s">
        <v>624</v>
      </c>
      <c r="B185" s="173" t="str">
        <f>IF(AND($C$24="Yes",$B$176="Yes"),IFERROR(VLOOKUP(tblCHKLPDDR4PIN[[#This Row],[Pin Name]],tblLPDDR4[],2,FALSE),MSG!$B$10),MSG!$I$40)</f>
        <v>LPDDR4 is not used.</v>
      </c>
      <c r="C185" s="96"/>
      <c r="D185" s="96"/>
      <c r="E185" s="173" t="str">
        <f>IF(AND($C$24="Yes",$B$176="Yes"),IFERROR(VLOOKUP(tblCHKLPDDR4PIN[[#This Row],[Pin Name]],tblLPDDR4[],3,FALSE),MSG!$B$10),MSG!$I$40)</f>
        <v>LPDDR4 is not used.</v>
      </c>
    </row>
    <row r="186" spans="1:5" ht="14" hidden="1" outlineLevel="2" thickBot="1">
      <c r="A186" s="81" t="s">
        <v>625</v>
      </c>
      <c r="B186" s="173" t="str">
        <f>IF(AND($C$24="Yes",$B$176="Yes"),IFERROR(VLOOKUP(tblCHKLPDDR4PIN[[#This Row],[Pin Name]],tblLPDDR4[],2,FALSE),MSG!$B$10),MSG!$I$40)</f>
        <v>LPDDR4 is not used.</v>
      </c>
      <c r="C186" s="96"/>
      <c r="D186" s="96"/>
      <c r="E186" s="173" t="str">
        <f>IF(AND($C$24="Yes",$B$176="Yes"),IFERROR(VLOOKUP(tblCHKLPDDR4PIN[[#This Row],[Pin Name]],tblLPDDR4[],3,FALSE),MSG!$B$10),MSG!$I$40)</f>
        <v>LPDDR4 is not used.</v>
      </c>
    </row>
    <row r="187" spans="1:5" ht="14" hidden="1" outlineLevel="2" thickBot="1">
      <c r="A187" s="81" t="s">
        <v>626</v>
      </c>
      <c r="B187" s="173" t="str">
        <f>IF(AND($C$24="Yes",$B$176="Yes"),IFERROR(VLOOKUP(tblCHKLPDDR4PIN[[#This Row],[Pin Name]],tblLPDDR4[],2,FALSE),MSG!$B$10),MSG!$I$40)</f>
        <v>LPDDR4 is not used.</v>
      </c>
      <c r="C187" s="96"/>
      <c r="D187" s="96"/>
      <c r="E187" s="173" t="str">
        <f>IF(AND($C$24="Yes",$B$176="Yes"),IFERROR(VLOOKUP(tblCHKLPDDR4PIN[[#This Row],[Pin Name]],tblLPDDR4[],3,FALSE),MSG!$B$10),MSG!$I$40)</f>
        <v>LPDDR4 is not used.</v>
      </c>
    </row>
    <row r="188" spans="1:5" ht="14" hidden="1" outlineLevel="2" thickBot="1">
      <c r="A188" s="81" t="s">
        <v>898</v>
      </c>
      <c r="B188" s="173" t="str">
        <f>IF(AND($C$24="Yes",$B$176="Yes"),IFERROR(VLOOKUP(tblCHKLPDDR4PIN[[#This Row],[Pin Name]],tblLPDDR4[],2,FALSE),MSG!$B$10),MSG!$I$40)</f>
        <v>LPDDR4 is not used.</v>
      </c>
      <c r="C188" s="96"/>
      <c r="D188" s="96"/>
      <c r="E188" s="173" t="str">
        <f>IF(AND($C$24="Yes",$B$176="Yes"),IFERROR(VLOOKUP(tblCHKLPDDR4PIN[[#This Row],[Pin Name]],tblLPDDR4[],3,FALSE),MSG!$B$10),MSG!$I$40)</f>
        <v>LPDDR4 is not used.</v>
      </c>
    </row>
    <row r="189" spans="1:5" ht="14" hidden="1" outlineLevel="2" thickBot="1">
      <c r="A189" s="81" t="s">
        <v>117</v>
      </c>
      <c r="B189" s="173" t="str">
        <f>IF(AND($C$24="Yes",$B$176="Yes"),IFERROR(VLOOKUP(tblCHKLPDDR4PIN[[#This Row],[Pin Name]],tblLPDDR4[],2,FALSE),MSG!$B$10),MSG!$I$40)</f>
        <v>LPDDR4 is not used.</v>
      </c>
      <c r="C189" s="96"/>
      <c r="D189" s="96"/>
      <c r="E189" s="173" t="str">
        <f>IF(AND($C$24="Yes",$B$176="Yes"),IFERROR(VLOOKUP(tblCHKLPDDR4PIN[[#This Row],[Pin Name]],tblLPDDR4[],3,FALSE),MSG!$B$10),MSG!$I$40)</f>
        <v>LPDDR4 is not used.</v>
      </c>
    </row>
    <row r="190" spans="1:5" ht="14" hidden="1" outlineLevel="2" thickBot="1">
      <c r="A190" s="81" t="s">
        <v>899</v>
      </c>
      <c r="B190" s="173" t="str">
        <f>IF(AND($C$24="Yes",$B$176="Yes"),IFERROR(VLOOKUP(tblCHKLPDDR4PIN[[#This Row],[Pin Name]],tblLPDDR4[],2,FALSE),MSG!$B$10),MSG!$I$40)</f>
        <v>LPDDR4 is not used.</v>
      </c>
      <c r="C190" s="96"/>
      <c r="D190" s="96"/>
      <c r="E190" s="173" t="str">
        <f>IF(AND($C$24="Yes",$B$176="Yes"),IFERROR(VLOOKUP(tblCHKLPDDR4PIN[[#This Row],[Pin Name]],tblLPDDR4[],3,FALSE),MSG!$B$10),MSG!$I$40)</f>
        <v>LPDDR4 is not used.</v>
      </c>
    </row>
    <row r="191" spans="1:5" ht="14" hidden="1" outlineLevel="2" thickBot="1">
      <c r="A191" s="81" t="s">
        <v>900</v>
      </c>
      <c r="B191" s="173" t="str">
        <f>IF(AND($C$24="Yes",$B$176="Yes"),IFERROR(VLOOKUP(tblCHKLPDDR4PIN[[#This Row],[Pin Name]],tblLPDDR4[],2,FALSE),MSG!$B$10),MSG!$I$40)</f>
        <v>LPDDR4 is not used.</v>
      </c>
      <c r="C191" s="96"/>
      <c r="D191" s="96"/>
      <c r="E191" s="173" t="str">
        <f>IF(AND($C$24="Yes",$B$176="Yes"),IFERROR(VLOOKUP(tblCHKLPDDR4PIN[[#This Row],[Pin Name]],tblLPDDR4[],3,FALSE),MSG!$B$10),MSG!$I$40)</f>
        <v>LPDDR4 is not used.</v>
      </c>
    </row>
    <row r="192" spans="1:5" ht="14" hidden="1" outlineLevel="2" collapsed="1" thickBot="1">
      <c r="A192" s="81" t="s">
        <v>892</v>
      </c>
      <c r="B192" s="173" t="str">
        <f>IF(AND($C$24="Yes",$B$176="Yes"),IFERROR(VLOOKUP(tblCHKLPDDR4PIN[[#This Row],[Pin Name]],tblLPDDR4[],2,FALSE),MSG!$B$10),MSG!$I$40)</f>
        <v>LPDDR4 is not used.</v>
      </c>
      <c r="C192" s="96"/>
      <c r="D192" s="96"/>
      <c r="E192" s="173" t="str">
        <f>IF(AND($C$24="Yes",$B$176="Yes"),IFERROR(VLOOKUP(tblCHKLPDDR4PIN[[#This Row],[Pin Name]],tblLPDDR4[],3,FALSE),MSG!$B$10),MSG!$I$40)</f>
        <v>LPDDR4 is not used.</v>
      </c>
    </row>
    <row r="193" spans="1:5" ht="14" hidden="1" outlineLevel="1" thickBot="1">
      <c r="A193" s="83" t="s">
        <v>674</v>
      </c>
      <c r="B193" s="118"/>
      <c r="C193" s="118"/>
      <c r="D193" s="118"/>
      <c r="E193" s="119"/>
    </row>
    <row r="194" spans="1:5" ht="14" hidden="1" outlineLevel="2" thickBot="1">
      <c r="A194" s="83" t="s">
        <v>30</v>
      </c>
      <c r="B194" s="83" t="s">
        <v>31</v>
      </c>
      <c r="C194" s="83" t="s">
        <v>32</v>
      </c>
      <c r="D194" s="83" t="s">
        <v>33</v>
      </c>
      <c r="E194" s="83" t="s">
        <v>34</v>
      </c>
    </row>
    <row r="195" spans="1:5" ht="14" hidden="1" outlineLevel="2" thickBot="1">
      <c r="A195" s="81" t="s">
        <v>119</v>
      </c>
      <c r="B195" s="173" t="str">
        <f>IF(AND($C$24="Yes",$B$176="Yes"),IFERROR(VLOOKUP(tblCHKLPDDR4TER[[#This Row],[Pin Name]],tblLPDDR4TER[],2,FALSE),MSG!$B$10),MSG!$I$40)</f>
        <v>LPDDR4 is not used.</v>
      </c>
      <c r="C195" s="96"/>
      <c r="D195" s="96"/>
      <c r="E195" s="173" t="str">
        <f>IF(AND($C$24="Yes",$B$176="Yes"),IFERROR(VLOOKUP(tblCHKLPDDR4TER[[#This Row],[Pin Name]],tblLPDDR4TER[],3,FALSE),MSG!$B$10),MSG!$I$40)</f>
        <v>LPDDR4 is not used.</v>
      </c>
    </row>
    <row r="196" spans="1:5" ht="14" hidden="1" outlineLevel="2" thickBot="1">
      <c r="A196" s="81" t="s">
        <v>120</v>
      </c>
      <c r="B196" s="173" t="str">
        <f>IF(AND($C$24="Yes",$B$176="Yes"),IFERROR(VLOOKUP(tblCHKLPDDR4TER[[#This Row],[Pin Name]],tblLPDDR4TER[],2,FALSE),MSG!$B$10),MSG!$I$40)</f>
        <v>LPDDR4 is not used.</v>
      </c>
      <c r="C196" s="96"/>
      <c r="D196" s="96"/>
      <c r="E196" s="173" t="str">
        <f>IF(AND($C$24="Yes",$B$176="Yes"),IFERROR(VLOOKUP(tblCHKLPDDR4TER[[#This Row],[Pin Name]],tblLPDDR4TER[],3,FALSE),MSG!$B$10),MSG!$I$40)</f>
        <v>LPDDR4 is not used.</v>
      </c>
    </row>
    <row r="197" spans="1:5" ht="41" hidden="1" outlineLevel="2" thickBot="1">
      <c r="A197" s="81" t="s">
        <v>627</v>
      </c>
      <c r="B197" s="173" t="str">
        <f>IF(AND($C$24="Yes",$B$176="Yes"),IFERROR(VLOOKUP(tblCHKLPDDR4TER[[#This Row],[Pin Name]],tblLPDDR4TER[],2,FALSE),MSG!$B$10),MSG!$I$40)</f>
        <v>LPDDR4 is not used.</v>
      </c>
      <c r="C197" s="96"/>
      <c r="D197" s="96"/>
      <c r="E197" s="173" t="str">
        <f>IF(AND($C$24="Yes",$B$176="Yes"),IFERROR(VLOOKUP(tblCHKLPDDR4TER[[#This Row],[Pin Name]],tblLPDDR4TER[],3,FALSE),MSG!$B$10),MSG!$I$40)</f>
        <v>LPDDR4 is not used.</v>
      </c>
    </row>
    <row r="198" spans="1:5" ht="14" hidden="1" outlineLevel="2" thickBot="1">
      <c r="A198" s="81" t="s">
        <v>628</v>
      </c>
      <c r="B198" s="173" t="str">
        <f>IF(AND($C$24="Yes",$B$176="Yes"),IFERROR(VLOOKUP(tblCHKLPDDR4TER[[#This Row],[Pin Name]],tblLPDDR4TER[],2,FALSE),MSG!$B$10),MSG!$I$40)</f>
        <v>LPDDR4 is not used.</v>
      </c>
      <c r="C198" s="96"/>
      <c r="D198" s="96"/>
      <c r="E198" s="173" t="str">
        <f>IF(AND($C$24="Yes",$B$176="Yes"),IFERROR(VLOOKUP(tblCHKLPDDR4TER[[#This Row],[Pin Name]],tblLPDDR4TER[],3,FALSE),MSG!$B$10),MSG!$I$40)</f>
        <v>LPDDR4 is not used.</v>
      </c>
    </row>
    <row r="199" spans="1:5" ht="27.5" hidden="1" outlineLevel="2" thickBot="1">
      <c r="A199" s="81" t="s">
        <v>630</v>
      </c>
      <c r="B199" s="173" t="str">
        <f>IF(AND($C$24="Yes",$B$176="Yes"),IFERROR(VLOOKUP(tblCHKLPDDR4TER[[#This Row],[Pin Name]],tblLPDDR4TER[],2,FALSE),MSG!$B$10),MSG!$I$40)</f>
        <v>LPDDR4 is not used.</v>
      </c>
      <c r="C199" s="96"/>
      <c r="D199" s="96"/>
      <c r="E199" s="173" t="str">
        <f>IF(AND($C$24="Yes",$B$176="Yes"),IFERROR(VLOOKUP(tblCHKLPDDR4TER[[#This Row],[Pin Name]],tblLPDDR4TER[],3,FALSE),MSG!$B$10),MSG!$I$40)</f>
        <v>LPDDR4 is not used.</v>
      </c>
    </row>
    <row r="200" spans="1:5" ht="14" hidden="1" outlineLevel="2" thickBot="1">
      <c r="A200" s="81" t="s">
        <v>632</v>
      </c>
      <c r="B200" s="173" t="str">
        <f>IF(AND($C$24="Yes",$B$176="Yes"),IFERROR(VLOOKUP(tblCHKLPDDR4TER[[#This Row],[Pin Name]],tblLPDDR4TER[],2,FALSE),MSG!$B$10),MSG!$I$40)</f>
        <v>LPDDR4 is not used.</v>
      </c>
      <c r="C200" s="96"/>
      <c r="D200" s="96"/>
      <c r="E200" s="173" t="str">
        <f>IF(AND($C$24="Yes",$B$176="Yes"),IFERROR(VLOOKUP(tblCHKLPDDR4TER[[#This Row],[Pin Name]],tblLPDDR4TER[],3,FALSE),MSG!$B$10),MSG!$I$40)</f>
        <v>LPDDR4 is not used.</v>
      </c>
    </row>
    <row r="201" spans="1:5" ht="14" hidden="1" outlineLevel="2" thickBot="1">
      <c r="A201" s="81" t="s">
        <v>634</v>
      </c>
      <c r="B201" s="173" t="str">
        <f>IF(AND($C$24="Yes",$B$176="Yes"),IFERROR(VLOOKUP(tblCHKLPDDR4TER[[#This Row],[Pin Name]],tblLPDDR4TER[],2,FALSE),MSG!$B$10),MSG!$I$40)</f>
        <v>LPDDR4 is not used.</v>
      </c>
      <c r="C201" s="96"/>
      <c r="D201" s="96"/>
      <c r="E201" s="173" t="str">
        <f>IF(AND($C$24="Yes",$B$176="Yes"),IFERROR(VLOOKUP(tblCHKLPDDR4TER[[#This Row],[Pin Name]],tblLPDDR4TER[],3,FALSE),MSG!$B$10),MSG!$I$40)</f>
        <v>LPDDR4 is not used.</v>
      </c>
    </row>
    <row r="202" spans="1:5" ht="14" hidden="1" outlineLevel="2" thickBot="1">
      <c r="A202" s="81" t="s">
        <v>902</v>
      </c>
      <c r="B202" s="173" t="str">
        <f>IF(AND($C$24="Yes",$B$176="Yes"),IFERROR(VLOOKUP(tblCHKLPDDR4TER[[#This Row],[Pin Name]],tblLPDDR4TER[],2,FALSE),MSG!$B$10),MSG!$I$40)</f>
        <v>LPDDR4 is not used.</v>
      </c>
      <c r="C202" s="96"/>
      <c r="D202" s="96"/>
      <c r="E202" s="173" t="str">
        <f>IF(AND($C$24="Yes",$B$176="Yes"),IFERROR(VLOOKUP(tblCHKLPDDR4TER[[#This Row],[Pin Name]],tblLPDDR4TER[],3,FALSE),MSG!$B$10),MSG!$I$40)</f>
        <v>LPDDR4 is not used.</v>
      </c>
    </row>
    <row r="203" spans="1:5" ht="14" hidden="1" outlineLevel="2" thickBot="1">
      <c r="A203" s="81" t="s">
        <v>903</v>
      </c>
      <c r="B203" s="173" t="str">
        <f>IF(AND($C$24="Yes",$B$176="Yes"),IFERROR(VLOOKUP(tblCHKLPDDR4TER[[#This Row],[Pin Name]],tblLPDDR4TER[],2,FALSE),MSG!$B$10),MSG!$I$40)</f>
        <v>LPDDR4 is not used.</v>
      </c>
      <c r="C203" s="96"/>
      <c r="D203" s="96"/>
      <c r="E203" s="173" t="str">
        <f>IF(AND($C$24="Yes",$B$176="Yes"),IFERROR(VLOOKUP(tblCHKLPDDR4TER[[#This Row],[Pin Name]],tblLPDDR4TER[],3,FALSE),MSG!$B$10),MSG!$I$40)</f>
        <v>LPDDR4 is not used.</v>
      </c>
    </row>
    <row r="204" spans="1:5" ht="14" hidden="1" outlineLevel="2" thickBot="1">
      <c r="A204" s="81" t="s">
        <v>117</v>
      </c>
      <c r="B204" s="173" t="str">
        <f>IF(AND($C$24="Yes",$B$176="Yes"),IFERROR(VLOOKUP(tblCHKLPDDR4TER[[#This Row],[Pin Name]],tblLPDDR4TER[],2,FALSE),MSG!$B$10),MSG!$I$40)</f>
        <v>LPDDR4 is not used.</v>
      </c>
      <c r="C204" s="96"/>
      <c r="D204" s="96"/>
      <c r="E204" s="173" t="str">
        <f>IF(AND($C$24="Yes",$B$176="Yes"),IFERROR(VLOOKUP(tblCHKLPDDR4TER[[#This Row],[Pin Name]],tblLPDDR4TER[],3,FALSE),MSG!$B$10),MSG!$I$40)</f>
        <v>LPDDR4 is not used.</v>
      </c>
    </row>
    <row r="205" spans="1:5" ht="14" hidden="1" outlineLevel="2" thickBot="1">
      <c r="A205" s="81" t="s">
        <v>636</v>
      </c>
      <c r="B205" s="173" t="str">
        <f>IF(AND($C$24="Yes",$B$176="Yes"),IFERROR(VLOOKUP(tblCHKLPDDR4TER[[#This Row],[Pin Name]],tblLPDDR4TER[],2,FALSE),MSG!$B$10),MSG!$I$40)</f>
        <v>LPDDR4 is not used.</v>
      </c>
      <c r="C205" s="96"/>
      <c r="D205" s="96"/>
      <c r="E205" s="173" t="str">
        <f>IF(AND($C$24="Yes",$B$176="Yes"),IFERROR(VLOOKUP(tblCHKLPDDR4TER[[#This Row],[Pin Name]],tblLPDDR4TER[],3,FALSE),MSG!$B$10),MSG!$I$40)</f>
        <v>LPDDR4 is not used.</v>
      </c>
    </row>
    <row r="206" spans="1:5" s="91" customFormat="1" ht="15.5" hidden="1" outlineLevel="2" collapsed="1" thickBot="1">
      <c r="A206" s="81" t="s">
        <v>898</v>
      </c>
      <c r="B206" s="173" t="str">
        <f>IF(AND($C$24="Yes",$B$176="Yes"),IFERROR(VLOOKUP(tblCHKLPDDR4TER[[#This Row],[Pin Name]],tblLPDDR4TER[],2,FALSE),MSG!$B$10),MSG!$I$40)</f>
        <v>LPDDR4 is not used.</v>
      </c>
      <c r="C206" s="96"/>
      <c r="D206" s="96"/>
      <c r="E206" s="173" t="str">
        <f>IF(AND($C$24="Yes",$B$176="Yes"),IFERROR(VLOOKUP(tblCHKLPDDR4TER[[#This Row],[Pin Name]],tblLPDDR4TER[],3,FALSE),MSG!$B$10),MSG!$I$40)</f>
        <v>LPDDR4 is not used.</v>
      </c>
    </row>
    <row r="207" spans="1:5" s="91" customFormat="1" ht="15" hidden="1" outlineLevel="1">
      <c r="A207" s="120"/>
      <c r="B207" s="120"/>
      <c r="C207" s="100"/>
      <c r="D207" s="100"/>
      <c r="E207" s="120"/>
    </row>
    <row r="208" spans="1:5" s="91" customFormat="1" ht="15" collapsed="1">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1504</v>
      </c>
      <c r="C212" s="106"/>
      <c r="D212" s="106"/>
      <c r="E212" s="94"/>
    </row>
    <row r="213" spans="1:5" ht="14" outlineLevel="1" thickBot="1">
      <c r="A213" s="83" t="s">
        <v>169</v>
      </c>
      <c r="B213" s="102" t="s">
        <v>1504</v>
      </c>
      <c r="C213" s="106"/>
      <c r="D213" s="106"/>
      <c r="E213" s="94"/>
    </row>
    <row r="214" spans="1:5" ht="14" outlineLevel="1" thickBot="1">
      <c r="A214" s="83" t="s">
        <v>170</v>
      </c>
      <c r="B214" s="102" t="s">
        <v>1504</v>
      </c>
      <c r="C214" s="106"/>
      <c r="D214" s="106"/>
      <c r="E214" s="94"/>
    </row>
    <row r="215" spans="1:5" ht="14" outlineLevel="1" thickBot="1">
      <c r="A215" s="83" t="s">
        <v>171</v>
      </c>
      <c r="B215" s="102" t="s">
        <v>1504</v>
      </c>
      <c r="C215" s="106"/>
      <c r="D215" s="106"/>
      <c r="E215" s="94"/>
    </row>
    <row r="216" spans="1:5" ht="14" outlineLevel="1" thickBot="1">
      <c r="A216" s="83" t="s">
        <v>172</v>
      </c>
      <c r="B216" s="102" t="s">
        <v>1504</v>
      </c>
      <c r="C216" s="106"/>
      <c r="D216" s="106"/>
      <c r="E216" s="94"/>
    </row>
    <row r="217" spans="1:5" ht="14" outlineLevel="1" thickBot="1">
      <c r="A217" s="83" t="s">
        <v>173</v>
      </c>
      <c r="B217" s="102" t="s">
        <v>1504</v>
      </c>
      <c r="C217" s="106"/>
      <c r="D217" s="106"/>
      <c r="E217" s="94"/>
    </row>
    <row r="218" spans="1:5" ht="14" outlineLevel="1" thickBot="1">
      <c r="A218" s="83" t="s">
        <v>174</v>
      </c>
      <c r="B218" s="102" t="s">
        <v>1504</v>
      </c>
      <c r="C218" s="106"/>
      <c r="D218" s="106"/>
      <c r="E218" s="94"/>
    </row>
    <row r="219" spans="1:5" ht="14" outlineLevel="1" thickBot="1">
      <c r="A219" s="83" t="s">
        <v>570</v>
      </c>
      <c r="B219" s="102" t="s">
        <v>1504</v>
      </c>
      <c r="C219" s="106"/>
      <c r="D219" s="106"/>
      <c r="E219" s="94"/>
    </row>
    <row r="220" spans="1:5" ht="14" outlineLevel="1" thickBot="1">
      <c r="A220" s="83" t="s">
        <v>175</v>
      </c>
      <c r="B220" s="102" t="s">
        <v>1504</v>
      </c>
      <c r="C220" s="106"/>
      <c r="D220" s="106"/>
      <c r="E220" s="94"/>
    </row>
    <row r="221" spans="1:5" ht="14" outlineLevel="1" collapsed="1" thickBot="1">
      <c r="A221" s="83" t="s">
        <v>176</v>
      </c>
      <c r="B221" s="102" t="s">
        <v>1504</v>
      </c>
      <c r="C221" s="106"/>
      <c r="D221" s="106"/>
      <c r="E221" s="94"/>
    </row>
    <row r="222" spans="1:5" ht="14" outlineLevel="1" thickBot="1">
      <c r="A222" s="83" t="s">
        <v>177</v>
      </c>
      <c r="B222" s="102" t="s">
        <v>1504</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14" outlineLevel="1" thickBot="1">
      <c r="A225" s="81" t="s">
        <v>178</v>
      </c>
      <c r="B225" s="173" t="str">
        <f>IF(var_OPN&lt;&gt;"",IF(varHasHPS="Yes",IF($C$26="Yes",IFERROR(VLOOKUP(tblCHKHPSCLK[[#This Row],[Pin Name]],tblHPS_CLK,4,FALSE),MSG!$B$10),MSG!$J$12),MSG!$J$11),MSG!$J$10)</f>
        <v>HPS is not available in the selected device</v>
      </c>
      <c r="C225" s="104"/>
      <c r="D225" s="104"/>
      <c r="E225" s="173" t="str">
        <f>IF(var_OPN&lt;&gt;"",IF(varHasHPS="Yes",IF($C$26="Yes",IFERROR(VLOOKUP(tblCHKHPSCLK[[#This Row],[Pin Name]],tblHPS_CLK,2,FALSE),MSG!$B$10),MSG!$J$12),MSG!$J$11),MSG!$J$10)</f>
        <v>HPS is not available in the selected device</v>
      </c>
    </row>
    <row r="226" spans="1:6" ht="14" outlineLevel="1" collapsed="1" thickBot="1">
      <c r="A226" s="121"/>
      <c r="B226" s="99"/>
      <c r="C226" s="60"/>
      <c r="F226" s="122"/>
    </row>
    <row r="227" spans="1:6" ht="14" outlineLevel="1" thickBot="1">
      <c r="A227" s="83" t="s">
        <v>179</v>
      </c>
      <c r="B227" s="122"/>
      <c r="C227" s="123"/>
      <c r="D227" s="123"/>
      <c r="E227" s="122"/>
    </row>
    <row r="228" spans="1:6" ht="14" hidden="1" outlineLevel="2" thickBot="1">
      <c r="A228" s="83" t="s">
        <v>30</v>
      </c>
      <c r="B228" s="83" t="s">
        <v>31</v>
      </c>
      <c r="C228" s="83" t="s">
        <v>32</v>
      </c>
      <c r="D228" s="83" t="s">
        <v>33</v>
      </c>
      <c r="E228" s="83" t="s">
        <v>34</v>
      </c>
    </row>
    <row r="229" spans="1:6" ht="14" hidden="1" outlineLevel="2" thickBot="1">
      <c r="A229" s="81" t="s">
        <v>1199</v>
      </c>
      <c r="B229" s="173" t="str">
        <f>IF(var_OPN&lt;&gt;"",IF(varHasHPS="Yes",IF($C$26="Yes",IF($B$212="Yes",IFERROR(VLOOKUP(tblCHKHPSJTAG[[#This Row],[Pin Name]],tblHPS_JTAG,4,FALSE),MSG!$B$10),MSG!$J$20),MSG!$J$12),MSG!$J$11),MSG!$J$10)</f>
        <v>HPS is not available in the selected device</v>
      </c>
      <c r="C229" s="90"/>
      <c r="D229" s="90"/>
      <c r="E229" s="173" t="str">
        <f>IF(var_OPN&lt;&gt;"",IF(varHasHPS="Yes",IF($C$26="Yes",IF($B$212="Yes",IFERROR(VLOOKUP(tblCHKHPSJTAG[[#This Row],[Pin Name]],tblHPS_JTAG,2,FALSE),MSG!$B$10),MSG!$J$20),MSG!$J$12),MSG!$J$11),MSG!$J$10)</f>
        <v>HPS is not available in the selected device</v>
      </c>
    </row>
    <row r="230" spans="1:6" ht="14" hidden="1" outlineLevel="2" thickBot="1">
      <c r="A230" s="81" t="s">
        <v>1201</v>
      </c>
      <c r="B230" s="173" t="str">
        <f>IF(var_OPN&lt;&gt;"",IF(varHasHPS="Yes",IF($C$26="Yes",IF($B$212="Yes",IFERROR(VLOOKUP(tblCHKHPSJTAG[[#This Row],[Pin Name]],tblHPS_JTAG,4,FALSE),MSG!$B$10),MSG!$J$20),MSG!$J$12),MSG!$J$11),MSG!$J$10)</f>
        <v>HPS is not available in the selected device</v>
      </c>
      <c r="C230" s="90"/>
      <c r="D230" s="90"/>
      <c r="E230" s="173" t="str">
        <f>IF(var_OPN&lt;&gt;"",IF(varHasHPS="Yes",IF($C$26="Yes",IF($B$212="Yes",IFERROR(VLOOKUP(tblCHKHPSJTAG[[#This Row],[Pin Name]],tblHPS_JTAG,2,FALSE),MSG!$B$10),MSG!$J$20),MSG!$J$12),MSG!$J$11),MSG!$J$10)</f>
        <v>HPS is not available in the selected device</v>
      </c>
    </row>
    <row r="231" spans="1:6" ht="14" hidden="1" outlineLevel="2" thickBot="1">
      <c r="A231" s="81" t="s">
        <v>1203</v>
      </c>
      <c r="B231" s="173" t="str">
        <f>IF(var_OPN&lt;&gt;"",IF(varHasHPS="Yes",IF($C$26="Yes",IF($B$212="Yes",IFERROR(VLOOKUP(tblCHKHPSJTAG[[#This Row],[Pin Name]],tblHPS_JTAG,4,FALSE),MSG!$B$10),MSG!$J$20),MSG!$J$12),MSG!$J$11),MSG!$J$10)</f>
        <v>HPS is not available in the selected device</v>
      </c>
      <c r="C231" s="90"/>
      <c r="D231" s="90"/>
      <c r="E231" s="173" t="str">
        <f>IF(var_OPN&lt;&gt;"",IF(varHasHPS="Yes",IF($C$26="Yes",IF($B$212="Yes",IFERROR(VLOOKUP(tblCHKHPSJTAG[[#This Row],[Pin Name]],tblHPS_JTAG,2,FALSE),MSG!$B$10),MSG!$J$20),MSG!$J$12),MSG!$J$11),MSG!$J$10)</f>
        <v>HPS is not available in the selected device</v>
      </c>
    </row>
    <row r="232" spans="1:6" ht="14" hidden="1" outlineLevel="2" collapsed="1" thickBot="1">
      <c r="A232" s="81" t="s">
        <v>1205</v>
      </c>
      <c r="B232" s="173" t="str">
        <f>IF(var_OPN&lt;&gt;"",IF(varHasHPS="Yes",IF($C$26="Yes",IF($B$212="Yes",IFERROR(VLOOKUP(tblCHKHPSJTAG[[#This Row],[Pin Name]],tblHPS_JTAG,4,FALSE),MSG!$B$10),MSG!$J$20),MSG!$J$12),MSG!$J$11),MSG!$J$10)</f>
        <v>HPS is not available in the selected device</v>
      </c>
      <c r="C232" s="90"/>
      <c r="D232" s="90"/>
      <c r="E232" s="173" t="str">
        <f>IF(var_OPN&lt;&gt;"",IF(varHasHPS="Yes",IF($C$26="Yes",IF($B$212="Yes",IFERROR(VLOOKUP(tblCHKHPSJTAG[[#This Row],[Pin Name]],tblHPS_JTAG,2,FALSE),MSG!$B$10),MSG!$J$20),MSG!$J$12),MSG!$J$11),MSG!$J$10)</f>
        <v>HPS is not available in the selected device</v>
      </c>
    </row>
    <row r="233" spans="1:6" ht="14" outlineLevel="1" collapsed="1" thickBot="1">
      <c r="A233" s="121"/>
      <c r="B233" s="99"/>
      <c r="C233" s="60"/>
    </row>
    <row r="234" spans="1:6" ht="14" outlineLevel="1" thickBot="1">
      <c r="A234" s="83" t="s">
        <v>180</v>
      </c>
      <c r="B234" s="122"/>
      <c r="C234" s="123"/>
      <c r="D234" s="123"/>
      <c r="E234" s="122"/>
    </row>
    <row r="235" spans="1:6" ht="14" hidden="1" outlineLevel="2" thickBot="1">
      <c r="A235" s="83" t="s">
        <v>30</v>
      </c>
      <c r="B235" s="83" t="s">
        <v>31</v>
      </c>
      <c r="C235" s="83" t="s">
        <v>32</v>
      </c>
      <c r="D235" s="83" t="s">
        <v>33</v>
      </c>
      <c r="E235" s="83" t="s">
        <v>34</v>
      </c>
    </row>
    <row r="236" spans="1:6" ht="14" hidden="1" outlineLevel="2" thickBot="1">
      <c r="A236" s="81" t="s">
        <v>1207</v>
      </c>
      <c r="B236" s="173" t="str">
        <f>IF(var_OPN&lt;&gt;"",IF(varHasHPS="Yes",IF($C$26="Yes",IF($B$213="Yes",IFERROR(VLOOKUP(tblCHKHPSGPIO[[#This Row],[Pin Name]],tblHPS_GPIO,4,FALSE),MSG!$B$10),MSG!$J$30),MSG!$J$12),MSG!$J$11),MSG!$J$10)</f>
        <v>HPS is not available in the selected device</v>
      </c>
      <c r="C236" s="90"/>
      <c r="D236" s="90"/>
      <c r="E236" s="173" t="str">
        <f>IF(var_OPN&lt;&gt;"",IF(varHasHPS="Yes",IF($C$26="Yes",IF($B$213="Yes",IFERROR(VLOOKUP(tblCHKHPSGPIO[[#This Row],[Pin Name]],tblHPS_GPIO,2,FALSE),MSG!$B$10),MSG!$J$30),MSG!$J$12),MSG!$J$11),MSG!$J$10)</f>
        <v>HPS is not available in the selected device</v>
      </c>
    </row>
    <row r="237" spans="1:6" ht="14" hidden="1" outlineLevel="2" collapsed="1" thickBot="1">
      <c r="A237" s="81" t="s">
        <v>181</v>
      </c>
      <c r="B237" s="173" t="str">
        <f>IF(var_OPN&lt;&gt;"",IF(varHasHPS="Yes",IF($C$26="Yes",IF($B$213="Yes",IFERROR(VLOOKUP(tblCHKHPSGPIO[[#This Row],[Pin Name]],tblHPS_GPIO,4,FALSE),MSG!$B$10),MSG!$J$30),MSG!$J$12),MSG!$J$11),MSG!$J$10)</f>
        <v>HPS is not available in the selected device</v>
      </c>
      <c r="C237" s="90"/>
      <c r="D237" s="90"/>
      <c r="E237" s="173" t="str">
        <f>IF(var_OPN&lt;&gt;"",IF(varHasHPS="Yes",IF($C$26="Yes",IF($B$213="Yes",IFERROR(VLOOKUP(tblCHKHPSGPIO[[#This Row],[Pin Name]],tblHPS_GPIO,2,FALSE),MSG!$B$10),MSG!$J$30),MSG!$J$12),MSG!$J$11),MSG!$J$10)</f>
        <v>HPS is not available in the selected device</v>
      </c>
    </row>
    <row r="238" spans="1:6" ht="14" outlineLevel="1" collapsed="1" thickBot="1">
      <c r="A238" s="121"/>
      <c r="B238" s="99"/>
      <c r="C238" s="60"/>
    </row>
    <row r="239" spans="1:6" ht="14" outlineLevel="1" thickBot="1">
      <c r="A239" s="83" t="s">
        <v>182</v>
      </c>
      <c r="B239" s="122"/>
      <c r="C239" s="123"/>
      <c r="D239" s="123"/>
      <c r="E239" s="122"/>
    </row>
    <row r="240" spans="1:6" ht="14" hidden="1" outlineLevel="2" thickBot="1">
      <c r="A240" s="83" t="s">
        <v>30</v>
      </c>
      <c r="B240" s="83" t="s">
        <v>31</v>
      </c>
      <c r="C240" s="83" t="s">
        <v>32</v>
      </c>
      <c r="D240" s="83" t="s">
        <v>33</v>
      </c>
      <c r="E240" s="83" t="s">
        <v>34</v>
      </c>
    </row>
    <row r="241" spans="1:6" ht="14" hidden="1" outlineLevel="2" thickBot="1">
      <c r="A241" s="81" t="s">
        <v>1209</v>
      </c>
      <c r="B241" s="173" t="str">
        <f>IF(var_OPN&lt;&gt;"",IF(varHasHPS="Yes",IF($C$26="Yes",IF($B$214="Yes",IFERROR(VLOOKUP(tblCHKHPSSDMMC[[#This Row],[Pin Name]],tblHPS_SDMMC,4,FALSE),MSG!$B$10),MSG!$J$40),MSG!$J$12),MSG!$J$11),MSG!$J$10)</f>
        <v>HPS is not available in the selected device</v>
      </c>
      <c r="C241" s="90"/>
      <c r="D241" s="90"/>
      <c r="E241" s="173" t="str">
        <f>IF(var_OPN&lt;&gt;"",IF(varHasHPS="Yes",IF($C$26="Yes",IF($B$214="Yes",IFERROR(VLOOKUP(tblCHKHPSSDMMC[[#This Row],[Pin Name]],tblHPS_SDMMC,2,FALSE),MSG!$B$10),MSG!$J$40),MSG!$J$12),MSG!$J$11),MSG!$J$10)</f>
        <v>HPS is not available in the selected device</v>
      </c>
    </row>
    <row r="242" spans="1:6" ht="14" hidden="1" outlineLevel="2" thickBot="1">
      <c r="A242" s="81" t="s">
        <v>1210</v>
      </c>
      <c r="B242" s="173" t="str">
        <f>IF(var_OPN&lt;&gt;"",IF(varHasHPS="Yes",IF($C$26="Yes",IF($B$214="Yes",IFERROR(VLOOKUP(tblCHKHPSSDMMC[[#This Row],[Pin Name]],tblHPS_SDMMC,4,FALSE),MSG!$B$10),MSG!$J$40),MSG!$J$12),MSG!$J$11),MSG!$J$10)</f>
        <v>HPS is not available in the selected device</v>
      </c>
      <c r="C242" s="90"/>
      <c r="D242" s="90"/>
      <c r="E242" s="173" t="str">
        <f>IF(var_OPN&lt;&gt;"",IF(varHasHPS="Yes",IF($C$26="Yes",IF($B$214="Yes",IFERROR(VLOOKUP(tblCHKHPSSDMMC[[#This Row],[Pin Name]],tblHPS_SDMMC,2,FALSE),MSG!$B$10),MSG!$J$40),MSG!$J$12),MSG!$J$11),MSG!$J$10)</f>
        <v>HPS is not available in the selected device</v>
      </c>
    </row>
    <row r="243" spans="1:6" ht="14" hidden="1" outlineLevel="2" collapsed="1" thickBot="1">
      <c r="A243" s="81" t="s">
        <v>1211</v>
      </c>
      <c r="B243" s="173" t="str">
        <f>IF(var_OPN&lt;&gt;"",IF(varHasHPS="Yes",IF($C$26="Yes",IF($B$214="Yes",IFERROR(VLOOKUP(tblCHKHPSSDMMC[[#This Row],[Pin Name]],tblHPS_SDMMC,4,FALSE),MSG!$B$10),MSG!$J$40),MSG!$J$12),MSG!$J$11),MSG!$J$10)</f>
        <v>HPS is not available in the selected device</v>
      </c>
      <c r="C243" s="90"/>
      <c r="D243" s="90"/>
      <c r="E243" s="173" t="str">
        <f>IF(var_OPN&lt;&gt;"",IF(varHasHPS="Yes",IF($C$26="Yes",IF($B$214="Yes",IFERROR(VLOOKUP(tblCHKHPSSDMMC[[#This Row],[Pin Name]],tblHPS_SDMMC,2,FALSE),MSG!$B$10),MSG!$J$40),MSG!$J$12),MSG!$J$11),MSG!$J$10)</f>
        <v>HPS is not available in the selected device</v>
      </c>
      <c r="F243" s="122"/>
    </row>
    <row r="244" spans="1:6" ht="14" hidden="1" outlineLevel="2" thickBot="1">
      <c r="A244" s="81" t="s">
        <v>1212</v>
      </c>
      <c r="B244" s="173" t="str">
        <f>IF(var_OPN&lt;&gt;"",IF(varHasHPS="Yes",IF($C$26="Yes",IF($B$214="Yes",IFERROR(VLOOKUP(tblCHKHPSSDMMC[[#This Row],[Pin Name]],tblHPS_SDMMC,4,FALSE),MSG!$B$10),MSG!$J$40),MSG!$J$12),MSG!$J$11),MSG!$J$10)</f>
        <v>HPS is not available in the selected device</v>
      </c>
      <c r="C244" s="90"/>
      <c r="D244" s="90"/>
      <c r="E244" s="173" t="str">
        <f>IF(var_OPN&lt;&gt;"",IF(varHasHPS="Yes",IF($C$26="Yes",IF($B$214="Yes",IFERROR(VLOOKUP(tblCHKHPSSDMMC[[#This Row],[Pin Name]],tblHPS_SDMMC,2,FALSE),MSG!$B$10),MSG!$J$40),MSG!$J$12),MSG!$J$11),MSG!$J$10)</f>
        <v>HPS is not available in the selected device</v>
      </c>
    </row>
    <row r="245" spans="1:6" ht="14" hidden="1" outlineLevel="2" thickBot="1">
      <c r="A245" s="81" t="s">
        <v>1213</v>
      </c>
      <c r="B245" s="173" t="str">
        <f>IF(var_OPN&lt;&gt;"",IF(varHasHPS="Yes",IF($C$26="Yes",IF($B$214="Yes",IFERROR(VLOOKUP(tblCHKHPSSDMMC[[#This Row],[Pin Name]],tblHPS_SDMMC,4,FALSE),MSG!$B$10),MSG!$J$40),MSG!$J$12),MSG!$J$11),MSG!$J$10)</f>
        <v>HPS is not available in the selected device</v>
      </c>
      <c r="C245" s="90"/>
      <c r="D245" s="90"/>
      <c r="E245" s="173" t="str">
        <f>IF(var_OPN&lt;&gt;"",IF(varHasHPS="Yes",IF($C$26="Yes",IF($B$214="Yes",IFERROR(VLOOKUP(tblCHKHPSSDMMC[[#This Row],[Pin Name]],tblHPS_SDMMC,2,FALSE),MSG!$B$10),MSG!$J$40),MSG!$J$12),MSG!$J$11),MSG!$J$10)</f>
        <v>HPS is not available in the selected device</v>
      </c>
    </row>
    <row r="246" spans="1:6" ht="14" hidden="1" outlineLevel="2" thickBot="1">
      <c r="A246" s="81" t="s">
        <v>1214</v>
      </c>
      <c r="B246" s="173" t="str">
        <f>IF(var_OPN&lt;&gt;"",IF(varHasHPS="Yes",IF($C$26="Yes",IF($B$214="Yes",IFERROR(VLOOKUP(tblCHKHPSSDMMC[[#This Row],[Pin Name]],tblHPS_SDMMC,4,FALSE),MSG!$B$10),MSG!$J$40),MSG!$J$12),MSG!$J$11),MSG!$J$10)</f>
        <v>HPS is not available in the selected device</v>
      </c>
      <c r="C246" s="90"/>
      <c r="D246" s="90"/>
      <c r="E246" s="173" t="str">
        <f>IF(var_OPN&lt;&gt;"",IF(varHasHPS="Yes",IF($C$26="Yes",IF($B$214="Yes",IFERROR(VLOOKUP(tblCHKHPSSDMMC[[#This Row],[Pin Name]],tblHPS_SDMMC,2,FALSE),MSG!$B$10),MSG!$J$40),MSG!$J$12),MSG!$J$11),MSG!$J$10)</f>
        <v>HPS is not available in the selected device</v>
      </c>
    </row>
    <row r="247" spans="1:6" ht="14" hidden="1" outlineLevel="2" thickBot="1">
      <c r="A247" s="81" t="s">
        <v>1215</v>
      </c>
      <c r="B247" s="173" t="str">
        <f>IF(var_OPN&lt;&gt;"",IF(varHasHPS="Yes",IF($C$26="Yes",IF($B$214="Yes",IFERROR(VLOOKUP(tblCHKHPSSDMMC[[#This Row],[Pin Name]],tblHPS_SDMMC,4,FALSE),MSG!$B$10),MSG!$J$40),MSG!$J$12),MSG!$J$11),MSG!$J$10)</f>
        <v>HPS is not available in the selected device</v>
      </c>
      <c r="C247" s="90"/>
      <c r="D247" s="90"/>
      <c r="E247" s="173" t="str">
        <f>IF(var_OPN&lt;&gt;"",IF(varHasHPS="Yes",IF($C$26="Yes",IF($B$214="Yes",IFERROR(VLOOKUP(tblCHKHPSSDMMC[[#This Row],[Pin Name]],tblHPS_SDMMC,2,FALSE),MSG!$B$10),MSG!$J$40),MSG!$J$12),MSG!$J$11),MSG!$J$10)</f>
        <v>HPS is not available in the selected device</v>
      </c>
    </row>
    <row r="248" spans="1:6" ht="14" hidden="1" outlineLevel="2" thickBot="1">
      <c r="A248" s="81" t="s">
        <v>1216</v>
      </c>
      <c r="B248" s="173" t="str">
        <f>IF(var_OPN&lt;&gt;"",IF(varHasHPS="Yes",IF($C$26="Yes",IF($B$214="Yes",IFERROR(VLOOKUP(tblCHKHPSSDMMC[[#This Row],[Pin Name]],tblHPS_SDMMC,4,FALSE),MSG!$B$10),MSG!$J$40),MSG!$J$12),MSG!$J$11),MSG!$J$10)</f>
        <v>HPS is not available in the selected device</v>
      </c>
      <c r="C248" s="90"/>
      <c r="D248" s="90"/>
      <c r="E248" s="173" t="str">
        <f>IF(var_OPN&lt;&gt;"",IF(varHasHPS="Yes",IF($C$26="Yes",IF($B$214="Yes",IFERROR(VLOOKUP(tblCHKHPSSDMMC[[#This Row],[Pin Name]],tblHPS_SDMMC,2,FALSE),MSG!$B$10),MSG!$J$40),MSG!$J$12),MSG!$J$11),MSG!$J$10)</f>
        <v>HPS is not available in the selected device</v>
      </c>
    </row>
    <row r="249" spans="1:6" ht="14" hidden="1" outlineLevel="2" thickBot="1">
      <c r="A249" s="81" t="s">
        <v>1217</v>
      </c>
      <c r="B249" s="173" t="str">
        <f>IF(var_OPN&lt;&gt;"",IF(varHasHPS="Yes",IF($C$26="Yes",IF($B$214="Yes",IFERROR(VLOOKUP(tblCHKHPSSDMMC[[#This Row],[Pin Name]],tblHPS_SDMMC,4,FALSE),MSG!$B$10),MSG!$J$40),MSG!$J$12),MSG!$J$11),MSG!$J$10)</f>
        <v>HPS is not available in the selected device</v>
      </c>
      <c r="C249" s="90"/>
      <c r="D249" s="90"/>
      <c r="E249" s="173" t="str">
        <f>IF(var_OPN&lt;&gt;"",IF(varHasHPS="Yes",IF($C$26="Yes",IF($B$214="Yes",IFERROR(VLOOKUP(tblCHKHPSSDMMC[[#This Row],[Pin Name]],tblHPS_SDMMC,2,FALSE),MSG!$B$10),MSG!$J$40),MSG!$J$12),MSG!$J$11),MSG!$J$10)</f>
        <v>HPS is not available in the selected device</v>
      </c>
    </row>
    <row r="250" spans="1:6" ht="14" hidden="1" outlineLevel="2" thickBot="1">
      <c r="A250" s="81" t="s">
        <v>1218</v>
      </c>
      <c r="B250" s="173" t="str">
        <f>IF(var_OPN&lt;&gt;"",IF(varHasHPS="Yes",IF($C$26="Yes",IF($B$214="Yes",IFERROR(VLOOKUP(tblCHKHPSSDMMC[[#This Row],[Pin Name]],tblHPS_SDMMC,4,FALSE),MSG!$B$10),MSG!$J$40),MSG!$J$12),MSG!$J$11),MSG!$J$10)</f>
        <v>HPS is not available in the selected device</v>
      </c>
      <c r="C250" s="90"/>
      <c r="D250" s="90"/>
      <c r="E250" s="173" t="str">
        <f>IF(var_OPN&lt;&gt;"",IF(varHasHPS="Yes",IF($C$26="Yes",IF($B$214="Yes",IFERROR(VLOOKUP(tblCHKHPSSDMMC[[#This Row],[Pin Name]],tblHPS_SDMMC,2,FALSE),MSG!$B$10),MSG!$J$40),MSG!$J$12),MSG!$J$11),MSG!$J$10)</f>
        <v>HPS is not available in the selected device</v>
      </c>
    </row>
    <row r="251" spans="1:6" ht="14" hidden="1" outlineLevel="2" thickBot="1">
      <c r="A251" s="81" t="s">
        <v>571</v>
      </c>
      <c r="B251" s="173" t="str">
        <f>IF(var_OPN&lt;&gt;"",IF(varHasHPS="Yes",IF($C$26="Yes",IF($B$214="Yes",IFERROR(VLOOKUP(tblCHKHPSSDMMC[[#This Row],[Pin Name]],tblHPS_SDMMC,4,FALSE),MSG!$B$10),MSG!$J$40),MSG!$J$12),MSG!$J$11),MSG!$J$10)</f>
        <v>HPS is not available in the selected device</v>
      </c>
      <c r="C251" s="90"/>
      <c r="D251" s="90"/>
      <c r="E251" s="173" t="str">
        <f>IF(var_OPN&lt;&gt;"",IF(varHasHPS="Yes",IF($C$26="Yes",IF($B$214="Yes",IFERROR(VLOOKUP(tblCHKHPSSDMMC[[#This Row],[Pin Name]],tblHPS_SDMMC,2,FALSE),MSG!$B$10),MSG!$J$40),MSG!$J$12),MSG!$J$11),MSG!$J$10)</f>
        <v>HPS is not available in the selected device</v>
      </c>
    </row>
    <row r="252" spans="1:6" ht="14" hidden="1" outlineLevel="2" thickBot="1">
      <c r="A252" s="81" t="s">
        <v>572</v>
      </c>
      <c r="B252" s="173" t="str">
        <f>IF(var_OPN&lt;&gt;"",IF(varHasHPS="Yes",IF($C$26="Yes",IF($B$214="Yes",IFERROR(VLOOKUP(tblCHKHPSSDMMC[[#This Row],[Pin Name]],tblHPS_SDMMC,4,FALSE),MSG!$B$10),MSG!$J$40),MSG!$J$12),MSG!$J$11),MSG!$J$10)</f>
        <v>HPS is not available in the selected device</v>
      </c>
      <c r="C252" s="90"/>
      <c r="D252" s="90"/>
      <c r="E252" s="173" t="str">
        <f>IF(var_OPN&lt;&gt;"",IF(varHasHPS="Yes",IF($C$26="Yes",IF($B$214="Yes",IFERROR(VLOOKUP(tblCHKHPSSDMMC[[#This Row],[Pin Name]],tblHPS_SDMMC,2,FALSE),MSG!$B$10),MSG!$J$40),MSG!$J$12),MSG!$J$11),MSG!$J$10)</f>
        <v>HPS is not available in the selected device</v>
      </c>
    </row>
    <row r="253" spans="1:6" ht="14" hidden="1" outlineLevel="2" thickBot="1">
      <c r="A253" s="81" t="s">
        <v>573</v>
      </c>
      <c r="B253" s="173" t="str">
        <f>IF(var_OPN&lt;&gt;"",IF(varHasHPS="Yes",IF($C$26="Yes",IF($B$214="Yes",IFERROR(VLOOKUP(tblCHKHPSSDMMC[[#This Row],[Pin Name]],tblHPS_SDMMC,4,FALSE),MSG!$B$10),MSG!$J$40),MSG!$J$12),MSG!$J$11),MSG!$J$10)</f>
        <v>HPS is not available in the selected device</v>
      </c>
      <c r="C253" s="90"/>
      <c r="D253" s="90"/>
      <c r="E253" s="173" t="str">
        <f>IF(var_OPN&lt;&gt;"",IF(varHasHPS="Yes",IF($C$26="Yes",IF($B$214="Yes",IFERROR(VLOOKUP(tblCHKHPSSDMMC[[#This Row],[Pin Name]],tblHPS_SDMMC,2,FALSE),MSG!$B$10),MSG!$J$40),MSG!$J$12),MSG!$J$11),MSG!$J$10)</f>
        <v>HPS is not available in the selected device</v>
      </c>
    </row>
    <row r="254" spans="1:6" ht="14" hidden="1" outlineLevel="2" collapsed="1" thickBot="1">
      <c r="A254" s="81" t="s">
        <v>574</v>
      </c>
      <c r="B254" s="173" t="str">
        <f>IF(var_OPN&lt;&gt;"",IF(varHasHPS="Yes",IF($C$26="Yes",IF($B$214="Yes",IFERROR(VLOOKUP(tblCHKHPSSDMMC[[#This Row],[Pin Name]],tblHPS_SDMMC,4,FALSE),MSG!$B$10),MSG!$J$40),MSG!$J$12),MSG!$J$11),MSG!$J$10)</f>
        <v>HPS is not available in the selected device</v>
      </c>
      <c r="C254" s="90"/>
      <c r="D254" s="90"/>
      <c r="E254" s="173" t="str">
        <f>IF(var_OPN&lt;&gt;"",IF(varHasHPS="Yes",IF($C$26="Yes",IF($B$214="Yes",IFERROR(VLOOKUP(tblCHKHPSSDMMC[[#This Row],[Pin Name]],tblHPS_SDMMC,2,FALSE),MSG!$B$10),MSG!$J$40),MSG!$J$12),MSG!$J$11),MSG!$J$10)</f>
        <v>HPS is not available in the selected device</v>
      </c>
    </row>
    <row r="255" spans="1:6" ht="14" outlineLevel="1" collapsed="1" thickBot="1">
      <c r="A255" s="121"/>
      <c r="B255" s="99"/>
      <c r="C255" s="60"/>
      <c r="D255" s="60"/>
    </row>
    <row r="256" spans="1:6" ht="14" outlineLevel="1" thickBot="1">
      <c r="A256" s="83" t="s">
        <v>183</v>
      </c>
      <c r="B256" s="122"/>
      <c r="C256" s="123"/>
      <c r="D256" s="123"/>
      <c r="E256" s="122"/>
    </row>
    <row r="257" spans="1:5" ht="14" hidden="1" outlineLevel="2" thickBot="1">
      <c r="A257" s="83" t="s">
        <v>30</v>
      </c>
      <c r="B257" s="83" t="s">
        <v>31</v>
      </c>
      <c r="C257" s="83" t="s">
        <v>32</v>
      </c>
      <c r="D257" s="83" t="s">
        <v>33</v>
      </c>
      <c r="E257" s="83" t="s">
        <v>34</v>
      </c>
    </row>
    <row r="258" spans="1:5" ht="14" hidden="1" outlineLevel="2" thickBot="1">
      <c r="A258" s="81" t="s">
        <v>1219</v>
      </c>
      <c r="B258" s="173" t="str">
        <f>IF(var_OPN&lt;&gt;"",IF(varHasHPS="Yes",IF($C$26="Yes",IF($B$215="Yes",IFERROR(VLOOKUP(tblCHKHPSNAND[[#This Row],[Pin Name]],tblHPS_NAND,4,FALSE),MSG!$B$10),MSG!$J$50),MSG!$J$12),MSG!$J$11),MSG!$J$10)</f>
        <v>HPS is not available in the selected device</v>
      </c>
      <c r="C258" s="90"/>
      <c r="D258" s="90"/>
      <c r="E258" s="173" t="str">
        <f>IF(var_OPN&lt;&gt;"",IF(varHasHPS="Yes",IF($C$26="Yes",IF($B$215="Yes",IFERROR(VLOOKUP(tblCHKHPSNAND[[#This Row],[Pin Name]],tblHPS_NAND,2,FALSE),MSG!$B$10),MSG!$J$50),MSG!$J$12),MSG!$J$11),MSG!$J$10)</f>
        <v>HPS is not available in the selected device</v>
      </c>
    </row>
    <row r="259" spans="1:5" ht="14" hidden="1" outlineLevel="2" thickBot="1">
      <c r="A259" s="81" t="s">
        <v>1220</v>
      </c>
      <c r="B259" s="173" t="str">
        <f>IF(var_OPN&lt;&gt;"",IF(varHasHPS="Yes",IF($C$26="Yes",IF($B$215="Yes",IFERROR(VLOOKUP(tblCHKHPSNAND[[#This Row],[Pin Name]],tblHPS_NAND,4,FALSE),MSG!$B$10),MSG!$J$50),MSG!$J$12),MSG!$J$11),MSG!$J$10)</f>
        <v>HPS is not available in the selected device</v>
      </c>
      <c r="C259" s="90"/>
      <c r="D259" s="90"/>
      <c r="E259" s="173" t="str">
        <f>IF(var_OPN&lt;&gt;"",IF(varHasHPS="Yes",IF($C$26="Yes",IF($B$215="Yes",IFERROR(VLOOKUP(tblCHKHPSNAND[[#This Row],[Pin Name]],tblHPS_NAND,2,FALSE),MSG!$B$10),MSG!$J$50),MSG!$J$12),MSG!$J$11),MSG!$J$10)</f>
        <v>HPS is not available in the selected device</v>
      </c>
    </row>
    <row r="260" spans="1:5" ht="14" hidden="1" outlineLevel="2" thickBot="1">
      <c r="A260" s="81" t="s">
        <v>1221</v>
      </c>
      <c r="B260" s="173" t="str">
        <f>IF(var_OPN&lt;&gt;"",IF(varHasHPS="Yes",IF($C$26="Yes",IF($B$215="Yes",IFERROR(VLOOKUP(tblCHKHPSNAND[[#This Row],[Pin Name]],tblHPS_NAND,4,FALSE),MSG!$B$10),MSG!$J$50),MSG!$J$12),MSG!$J$11),MSG!$J$10)</f>
        <v>HPS is not available in the selected device</v>
      </c>
      <c r="C260" s="90"/>
      <c r="D260" s="90"/>
      <c r="E260" s="173" t="str">
        <f>IF(var_OPN&lt;&gt;"",IF(varHasHPS="Yes",IF($C$26="Yes",IF($B$215="Yes",IFERROR(VLOOKUP(tblCHKHPSNAND[[#This Row],[Pin Name]],tblHPS_NAND,2,FALSE),MSG!$B$10),MSG!$J$50),MSG!$J$12),MSG!$J$11),MSG!$J$10)</f>
        <v>HPS is not available in the selected device</v>
      </c>
    </row>
    <row r="261" spans="1:5" ht="14" hidden="1" outlineLevel="2" thickBot="1">
      <c r="A261" s="81" t="s">
        <v>1222</v>
      </c>
      <c r="B261" s="173" t="str">
        <f>IF(var_OPN&lt;&gt;"",IF(varHasHPS="Yes",IF($C$26="Yes",IF($B$215="Yes",IFERROR(VLOOKUP(tblCHKHPSNAND[[#This Row],[Pin Name]],tblHPS_NAND,4,FALSE),MSG!$B$10),MSG!$J$50),MSG!$J$12),MSG!$J$11),MSG!$J$10)</f>
        <v>HPS is not available in the selected device</v>
      </c>
      <c r="C261" s="90"/>
      <c r="D261" s="90"/>
      <c r="E261" s="173" t="str">
        <f>IF(var_OPN&lt;&gt;"",IF(varHasHPS="Yes",IF($C$26="Yes",IF($B$215="Yes",IFERROR(VLOOKUP(tblCHKHPSNAND[[#This Row],[Pin Name]],tblHPS_NAND,2,FALSE),MSG!$B$10),MSG!$J$50),MSG!$J$12),MSG!$J$11),MSG!$J$10)</f>
        <v>HPS is not available in the selected device</v>
      </c>
    </row>
    <row r="262" spans="1:5" ht="14" hidden="1" outlineLevel="2" thickBot="1">
      <c r="A262" s="81" t="s">
        <v>1223</v>
      </c>
      <c r="B262" s="173" t="str">
        <f>IF(var_OPN&lt;&gt;"",IF(varHasHPS="Yes",IF($C$26="Yes",IF($B$215="Yes",IFERROR(VLOOKUP(tblCHKHPSNAND[[#This Row],[Pin Name]],tblHPS_NAND,4,FALSE),MSG!$B$10),MSG!$J$50),MSG!$J$12),MSG!$J$11),MSG!$J$10)</f>
        <v>HPS is not available in the selected device</v>
      </c>
      <c r="C262" s="90"/>
      <c r="D262" s="90"/>
      <c r="E262" s="173" t="str">
        <f>IF(var_OPN&lt;&gt;"",IF(varHasHPS="Yes",IF($C$26="Yes",IF($B$215="Yes",IFERROR(VLOOKUP(tblCHKHPSNAND[[#This Row],[Pin Name]],tblHPS_NAND,2,FALSE),MSG!$B$10),MSG!$J$50),MSG!$J$12),MSG!$J$11),MSG!$J$10)</f>
        <v>HPS is not available in the selected device</v>
      </c>
    </row>
    <row r="263" spans="1:5" ht="14" hidden="1" outlineLevel="2" thickBot="1">
      <c r="A263" s="81" t="s">
        <v>1224</v>
      </c>
      <c r="B263" s="173" t="str">
        <f>IF(var_OPN&lt;&gt;"",IF(varHasHPS="Yes",IF($C$26="Yes",IF($B$215="Yes",IFERROR(VLOOKUP(tblCHKHPSNAND[[#This Row],[Pin Name]],tblHPS_NAND,4,FALSE),MSG!$B$10),MSG!$J$50),MSG!$J$12),MSG!$J$11),MSG!$J$10)</f>
        <v>HPS is not available in the selected device</v>
      </c>
      <c r="C263" s="90"/>
      <c r="D263" s="90"/>
      <c r="E263" s="173" t="str">
        <f>IF(var_OPN&lt;&gt;"",IF(varHasHPS="Yes",IF($C$26="Yes",IF($B$215="Yes",IFERROR(VLOOKUP(tblCHKHPSNAND[[#This Row],[Pin Name]],tblHPS_NAND,2,FALSE),MSG!$B$10),MSG!$J$50),MSG!$J$12),MSG!$J$11),MSG!$J$10)</f>
        <v>HPS is not available in the selected device</v>
      </c>
    </row>
    <row r="264" spans="1:5" ht="14" hidden="1" outlineLevel="2" thickBot="1">
      <c r="A264" s="81" t="s">
        <v>1225</v>
      </c>
      <c r="B264" s="173" t="str">
        <f>IF(var_OPN&lt;&gt;"",IF(varHasHPS="Yes",IF($C$26="Yes",IF($B$215="Yes",IFERROR(VLOOKUP(tblCHKHPSNAND[[#This Row],[Pin Name]],tblHPS_NAND,4,FALSE),MSG!$B$10),MSG!$J$50),MSG!$J$12),MSG!$J$11),MSG!$J$10)</f>
        <v>HPS is not available in the selected device</v>
      </c>
      <c r="C264" s="90"/>
      <c r="D264" s="90"/>
      <c r="E264" s="173" t="str">
        <f>IF(var_OPN&lt;&gt;"",IF(varHasHPS="Yes",IF($C$26="Yes",IF($B$215="Yes",IFERROR(VLOOKUP(tblCHKHPSNAND[[#This Row],[Pin Name]],tblHPS_NAND,2,FALSE),MSG!$B$10),MSG!$J$50),MSG!$J$12),MSG!$J$11),MSG!$J$10)</f>
        <v>HPS is not available in the selected device</v>
      </c>
    </row>
    <row r="265" spans="1:5" ht="14" hidden="1" outlineLevel="2" thickBot="1">
      <c r="A265" s="81" t="s">
        <v>1226</v>
      </c>
      <c r="B265" s="173" t="str">
        <f>IF(var_OPN&lt;&gt;"",IF(varHasHPS="Yes",IF($C$26="Yes",IF($B$215="Yes",IFERROR(VLOOKUP(tblCHKHPSNAND[[#This Row],[Pin Name]],tblHPS_NAND,4,FALSE),MSG!$B$10),MSG!$J$50),MSG!$J$12),MSG!$J$11),MSG!$J$10)</f>
        <v>HPS is not available in the selected device</v>
      </c>
      <c r="C265" s="90"/>
      <c r="D265" s="90"/>
      <c r="E265" s="173" t="str">
        <f>IF(var_OPN&lt;&gt;"",IF(varHasHPS="Yes",IF($C$26="Yes",IF($B$215="Yes",IFERROR(VLOOKUP(tblCHKHPSNAND[[#This Row],[Pin Name]],tblHPS_NAND,2,FALSE),MSG!$B$10),MSG!$J$50),MSG!$J$12),MSG!$J$11),MSG!$J$10)</f>
        <v>HPS is not available in the selected device</v>
      </c>
    </row>
    <row r="266" spans="1:5" ht="14" hidden="1" outlineLevel="2" thickBot="1">
      <c r="A266" s="81" t="s">
        <v>1227</v>
      </c>
      <c r="B266" s="173" t="str">
        <f>IF(var_OPN&lt;&gt;"",IF(varHasHPS="Yes",IF($C$26="Yes",IF($B$215="Yes",IFERROR(VLOOKUP(tblCHKHPSNAND[[#This Row],[Pin Name]],tblHPS_NAND,4,FALSE),MSG!$B$10),MSG!$J$50),MSG!$J$12),MSG!$J$11),MSG!$J$10)</f>
        <v>HPS is not available in the selected device</v>
      </c>
      <c r="C266" s="90"/>
      <c r="D266" s="90"/>
      <c r="E266" s="173" t="str">
        <f>IF(var_OPN&lt;&gt;"",IF(varHasHPS="Yes",IF($C$26="Yes",IF($B$215="Yes",IFERROR(VLOOKUP(tblCHKHPSNAND[[#This Row],[Pin Name]],tblHPS_NAND,2,FALSE),MSG!$B$10),MSG!$J$50),MSG!$J$12),MSG!$J$11),MSG!$J$10)</f>
        <v>HPS is not available in the selected device</v>
      </c>
    </row>
    <row r="267" spans="1:5" ht="14" hidden="1" outlineLevel="2" thickBot="1">
      <c r="A267" s="81" t="s">
        <v>1228</v>
      </c>
      <c r="B267" s="173" t="str">
        <f>IF(var_OPN&lt;&gt;"",IF(varHasHPS="Yes",IF($C$26="Yes",IF($B$215="Yes",IFERROR(VLOOKUP(tblCHKHPSNAND[[#This Row],[Pin Name]],tblHPS_NAND,4,FALSE),MSG!$B$10),MSG!$J$50),MSG!$J$12),MSG!$J$11),MSG!$J$10)</f>
        <v>HPS is not available in the selected device</v>
      </c>
      <c r="C267" s="90"/>
      <c r="D267" s="90"/>
      <c r="E267" s="173" t="str">
        <f>IF(var_OPN&lt;&gt;"",IF(varHasHPS="Yes",IF($C$26="Yes",IF($B$215="Yes",IFERROR(VLOOKUP(tblCHKHPSNAND[[#This Row],[Pin Name]],tblHPS_NAND,2,FALSE),MSG!$B$10),MSG!$J$50),MSG!$J$12),MSG!$J$11),MSG!$J$10)</f>
        <v>HPS is not available in the selected device</v>
      </c>
    </row>
    <row r="268" spans="1:5" ht="14" hidden="1" outlineLevel="2" thickBot="1">
      <c r="A268" s="81" t="s">
        <v>1229</v>
      </c>
      <c r="B268" s="173" t="str">
        <f>IF(var_OPN&lt;&gt;"",IF(varHasHPS="Yes",IF($C$26="Yes",IF($B$215="Yes",IFERROR(VLOOKUP(tblCHKHPSNAND[[#This Row],[Pin Name]],tblHPS_NAND,4,FALSE),MSG!$B$10),MSG!$J$50),MSG!$J$12),MSG!$J$11),MSG!$J$10)</f>
        <v>HPS is not available in the selected device</v>
      </c>
      <c r="C268" s="90"/>
      <c r="D268" s="90"/>
      <c r="E268" s="173" t="str">
        <f>IF(var_OPN&lt;&gt;"",IF(varHasHPS="Yes",IF($C$26="Yes",IF($B$215="Yes",IFERROR(VLOOKUP(tblCHKHPSNAND[[#This Row],[Pin Name]],tblHPS_NAND,2,FALSE),MSG!$B$10),MSG!$J$50),MSG!$J$12),MSG!$J$11),MSG!$J$10)</f>
        <v>HPS is not available in the selected device</v>
      </c>
    </row>
    <row r="269" spans="1:5" ht="14" hidden="1" outlineLevel="2" collapsed="1" thickBot="1">
      <c r="A269" s="81" t="s">
        <v>1230</v>
      </c>
      <c r="B269" s="173" t="str">
        <f>IF(var_OPN&lt;&gt;"",IF(varHasHPS="Yes",IF($C$26="Yes",IF($B$215="Yes",IFERROR(VLOOKUP(tblCHKHPSNAND[[#This Row],[Pin Name]],tblHPS_NAND,4,FALSE),MSG!$B$10),MSG!$J$50),MSG!$J$12),MSG!$J$11),MSG!$J$10)</f>
        <v>HPS is not available in the selected device</v>
      </c>
      <c r="C269" s="90"/>
      <c r="D269" s="90"/>
      <c r="E269" s="173" t="str">
        <f>IF(var_OPN&lt;&gt;"",IF(varHasHPS="Yes",IF($C$26="Yes",IF($B$215="Yes",IFERROR(VLOOKUP(tblCHKHPSNAND[[#This Row],[Pin Name]],tblHPS_NAND,2,FALSE),MSG!$B$10),MSG!$J$50),MSG!$J$12),MSG!$J$11),MSG!$J$10)</f>
        <v>HPS is not available in the selected device</v>
      </c>
    </row>
    <row r="270" spans="1:5" ht="14" hidden="1" outlineLevel="2" thickBot="1">
      <c r="A270" s="81" t="s">
        <v>1231</v>
      </c>
      <c r="B270" s="173" t="str">
        <f>IF(var_OPN&lt;&gt;"",IF(varHasHPS="Yes",IF($C$26="Yes",IF($B$215="Yes",IFERROR(VLOOKUP(tblCHKHPSNAND[[#This Row],[Pin Name]],tblHPS_NAND,4,FALSE),MSG!$B$10),MSG!$J$50),MSG!$J$12),MSG!$J$11),MSG!$J$10)</f>
        <v>HPS is not available in the selected device</v>
      </c>
      <c r="C270" s="90"/>
      <c r="D270" s="90"/>
      <c r="E270" s="173" t="str">
        <f>IF(var_OPN&lt;&gt;"",IF(varHasHPS="Yes",IF($C$26="Yes",IF($B$215="Yes",IFERROR(VLOOKUP(tblCHKHPSNAND[[#This Row],[Pin Name]],tblHPS_NAND,2,FALSE),MSG!$B$10),MSG!$J$50),MSG!$J$12),MSG!$J$11),MSG!$J$10)</f>
        <v>HPS is not available in the selected device</v>
      </c>
    </row>
    <row r="271" spans="1:5" ht="14" hidden="1" outlineLevel="2" thickBot="1">
      <c r="A271" s="81" t="s">
        <v>575</v>
      </c>
      <c r="B271" s="173" t="str">
        <f>IF(var_OPN&lt;&gt;"",IF(varHasHPS="Yes",IF($C$26="Yes",IF($B$215="Yes",IFERROR(VLOOKUP(tblCHKHPSNAND[[#This Row],[Pin Name]],tblHPS_NAND,4,FALSE),MSG!$B$10),MSG!$J$50),MSG!$J$12),MSG!$J$11),MSG!$J$10)</f>
        <v>HPS is not available in the selected device</v>
      </c>
      <c r="C271" s="90"/>
      <c r="D271" s="90"/>
      <c r="E271" s="173" t="str">
        <f>IF(var_OPN&lt;&gt;"",IF(varHasHPS="Yes",IF($C$26="Yes",IF($B$215="Yes",IFERROR(VLOOKUP(tblCHKHPSNAND[[#This Row],[Pin Name]],tblHPS_NAND,2,FALSE),MSG!$B$10),MSG!$J$50),MSG!$J$12),MSG!$J$11),MSG!$J$10)</f>
        <v>HPS is not available in the selected device</v>
      </c>
    </row>
    <row r="272" spans="1:5" ht="14" hidden="1" outlineLevel="2" thickBot="1">
      <c r="A272" s="81" t="s">
        <v>1232</v>
      </c>
      <c r="B272" s="173" t="str">
        <f>IF(var_OPN&lt;&gt;"",IF(varHasHPS="Yes",IF($C$26="Yes",IF($B$215="Yes",IFERROR(VLOOKUP(tblCHKHPSNAND[[#This Row],[Pin Name]],tblHPS_NAND,4,FALSE),MSG!$B$10),MSG!$J$50),MSG!$J$12),MSG!$J$11),MSG!$J$10)</f>
        <v>HPS is not available in the selected device</v>
      </c>
      <c r="C272" s="90"/>
      <c r="D272" s="90"/>
      <c r="E272" s="173" t="str">
        <f>IF(var_OPN&lt;&gt;"",IF(varHasHPS="Yes",IF($C$26="Yes",IF($B$215="Yes",IFERROR(VLOOKUP(tblCHKHPSNAND[[#This Row],[Pin Name]],tblHPS_NAND,2,FALSE),MSG!$B$10),MSG!$J$50),MSG!$J$12),MSG!$J$11),MSG!$J$10)</f>
        <v>HPS is not available in the selected device</v>
      </c>
    </row>
    <row r="273" spans="1:5" ht="14" hidden="1" outlineLevel="2" thickBot="1">
      <c r="A273" s="81" t="s">
        <v>737</v>
      </c>
      <c r="B273" s="173" t="str">
        <f>IF(var_OPN&lt;&gt;"",IF(varHasHPS="Yes",IF($C$26="Yes",IF($B$215="Yes",IFERROR(VLOOKUP(tblCHKHPSNAND[[#This Row],[Pin Name]],tblHPS_NAND,4,FALSE),MSG!$B$10),MSG!$J$50),MSG!$J$12),MSG!$J$11),MSG!$J$10)</f>
        <v>HPS is not available in the selected device</v>
      </c>
      <c r="C273" s="90"/>
      <c r="D273" s="90"/>
      <c r="E273" s="173" t="str">
        <f>IF(var_OPN&lt;&gt;"",IF(varHasHPS="Yes",IF($C$26="Yes",IF($B$215="Yes",IFERROR(VLOOKUP(tblCHKHPSNAND[[#This Row],[Pin Name]],tblHPS_NAND,2,FALSE),MSG!$B$10),MSG!$J$50),MSG!$J$12),MSG!$J$11),MSG!$J$10)</f>
        <v>HPS is not available in the selected device</v>
      </c>
    </row>
    <row r="274" spans="1:5" ht="14" hidden="1" outlineLevel="2" thickBot="1">
      <c r="A274" s="81" t="s">
        <v>1233</v>
      </c>
      <c r="B274" s="173" t="str">
        <f>IF(var_OPN&lt;&gt;"",IF(varHasHPS="Yes",IF($C$26="Yes",IF($B$215="Yes",IFERROR(VLOOKUP(tblCHKHPSNAND[[#This Row],[Pin Name]],tblHPS_NAND,4,FALSE),MSG!$B$10),MSG!$J$50),MSG!$J$12),MSG!$J$11),MSG!$J$10)</f>
        <v>HPS is not available in the selected device</v>
      </c>
      <c r="C274" s="90"/>
      <c r="D274" s="90"/>
      <c r="E274" s="173" t="str">
        <f>IF(var_OPN&lt;&gt;"",IF(varHasHPS="Yes",IF($C$26="Yes",IF($B$215="Yes",IFERROR(VLOOKUP(tblCHKHPSNAND[[#This Row],[Pin Name]],tblHPS_NAND,2,FALSE),MSG!$B$10),MSG!$J$50),MSG!$J$12),MSG!$J$11),MSG!$J$10)</f>
        <v>HPS is not available in the selected device</v>
      </c>
    </row>
    <row r="275" spans="1:5" ht="14" hidden="1" outlineLevel="2" thickBot="1">
      <c r="A275" s="81" t="s">
        <v>1234</v>
      </c>
      <c r="B275" s="173" t="str">
        <f>IF(var_OPN&lt;&gt;"",IF(varHasHPS="Yes",IF($C$26="Yes",IF($B$215="Yes",IFERROR(VLOOKUP(tblCHKHPSNAND[[#This Row],[Pin Name]],tblHPS_NAND,4,FALSE),MSG!$B$10),MSG!$J$50),MSG!$J$12),MSG!$J$11),MSG!$J$10)</f>
        <v>HPS is not available in the selected device</v>
      </c>
      <c r="C275" s="90"/>
      <c r="D275" s="90"/>
      <c r="E275" s="173" t="str">
        <f>IF(var_OPN&lt;&gt;"",IF(varHasHPS="Yes",IF($C$26="Yes",IF($B$215="Yes",IFERROR(VLOOKUP(tblCHKHPSNAND[[#This Row],[Pin Name]],tblHPS_NAND,2,FALSE),MSG!$B$10),MSG!$J$50),MSG!$J$12),MSG!$J$11),MSG!$J$10)</f>
        <v>HPS is not available in the selected device</v>
      </c>
    </row>
    <row r="276" spans="1:5" ht="14" hidden="1" outlineLevel="2" thickBot="1">
      <c r="A276" s="81" t="s">
        <v>1235</v>
      </c>
      <c r="B276" s="173" t="str">
        <f>IF(var_OPN&lt;&gt;"",IF(varHasHPS="Yes",IF($C$26="Yes",IF($B$215="Yes",IFERROR(VLOOKUP(tblCHKHPSNAND[[#This Row],[Pin Name]],tblHPS_NAND,4,FALSE),MSG!$B$10),MSG!$J$50),MSG!$J$12),MSG!$J$11),MSG!$J$10)</f>
        <v>HPS is not available in the selected device</v>
      </c>
      <c r="C276" s="90"/>
      <c r="D276" s="90"/>
      <c r="E276" s="173" t="str">
        <f>IF(var_OPN&lt;&gt;"",IF(varHasHPS="Yes",IF($C$26="Yes",IF($B$215="Yes",IFERROR(VLOOKUP(tblCHKHPSNAND[[#This Row],[Pin Name]],tblHPS_NAND,2,FALSE),MSG!$B$10),MSG!$J$50),MSG!$J$12),MSG!$J$11),MSG!$J$10)</f>
        <v>HPS is not available in the selected device</v>
      </c>
    </row>
    <row r="277" spans="1:5" ht="14" hidden="1" outlineLevel="2" thickBot="1">
      <c r="A277" s="81" t="s">
        <v>1236</v>
      </c>
      <c r="B277" s="173" t="str">
        <f>IF(var_OPN&lt;&gt;"",IF(varHasHPS="Yes",IF($C$26="Yes",IF($B$215="Yes",IFERROR(VLOOKUP(tblCHKHPSNAND[[#This Row],[Pin Name]],tblHPS_NAND,4,FALSE),MSG!$B$10),MSG!$J$50),MSG!$J$12),MSG!$J$11),MSG!$J$10)</f>
        <v>HPS is not available in the selected device</v>
      </c>
      <c r="C277" s="90"/>
      <c r="D277" s="90"/>
      <c r="E277" s="173" t="str">
        <f>IF(var_OPN&lt;&gt;"",IF(varHasHPS="Yes",IF($C$26="Yes",IF($B$215="Yes",IFERROR(VLOOKUP(tblCHKHPSNAND[[#This Row],[Pin Name]],tblHPS_NAND,2,FALSE),MSG!$B$10),MSG!$J$50),MSG!$J$12),MSG!$J$11),MSG!$J$10)</f>
        <v>HPS is not available in the selected device</v>
      </c>
    </row>
    <row r="278" spans="1:5" ht="14" hidden="1" outlineLevel="2" thickBot="1">
      <c r="A278" s="81" t="s">
        <v>1237</v>
      </c>
      <c r="B278" s="173" t="str">
        <f>IF(var_OPN&lt;&gt;"",IF(varHasHPS="Yes",IF($C$26="Yes",IF($B$215="Yes",IFERROR(VLOOKUP(tblCHKHPSNAND[[#This Row],[Pin Name]],tblHPS_NAND,4,FALSE),MSG!$B$10),MSG!$J$50),MSG!$J$12),MSG!$J$11),MSG!$J$10)</f>
        <v>HPS is not available in the selected device</v>
      </c>
      <c r="C278" s="90"/>
      <c r="D278" s="90"/>
      <c r="E278" s="173" t="str">
        <f>IF(var_OPN&lt;&gt;"",IF(varHasHPS="Yes",IF($C$26="Yes",IF($B$215="Yes",IFERROR(VLOOKUP(tblCHKHPSNAND[[#This Row],[Pin Name]],tblHPS_NAND,2,FALSE),MSG!$B$10),MSG!$J$50),MSG!$J$12),MSG!$J$11),MSG!$J$10)</f>
        <v>HPS is not available in the selected device</v>
      </c>
    </row>
    <row r="279" spans="1:5" ht="14" hidden="1" outlineLevel="2" thickBot="1">
      <c r="A279" s="81" t="s">
        <v>1238</v>
      </c>
      <c r="B279" s="173" t="str">
        <f>IF(var_OPN&lt;&gt;"",IF(varHasHPS="Yes",IF($C$26="Yes",IF($B$215="Yes",IFERROR(VLOOKUP(tblCHKHPSNAND[[#This Row],[Pin Name]],tblHPS_NAND,4,FALSE),MSG!$B$10),MSG!$J$50),MSG!$J$12),MSG!$J$11),MSG!$J$10)</f>
        <v>HPS is not available in the selected device</v>
      </c>
      <c r="C279" s="90"/>
      <c r="D279" s="90"/>
      <c r="E279" s="173" t="str">
        <f>IF(var_OPN&lt;&gt;"",IF(varHasHPS="Yes",IF($C$26="Yes",IF($B$215="Yes",IFERROR(VLOOKUP(tblCHKHPSNAND[[#This Row],[Pin Name]],tblHPS_NAND,2,FALSE),MSG!$B$10),MSG!$J$50),MSG!$J$12),MSG!$J$11),MSG!$J$10)</f>
        <v>HPS is not available in the selected device</v>
      </c>
    </row>
    <row r="280" spans="1:5" ht="14" hidden="1" outlineLevel="2" thickBot="1">
      <c r="A280" s="81" t="s">
        <v>1239</v>
      </c>
      <c r="B280" s="173" t="str">
        <f>IF(var_OPN&lt;&gt;"",IF(varHasHPS="Yes",IF($C$26="Yes",IF($B$215="Yes",IFERROR(VLOOKUP(tblCHKHPSNAND[[#This Row],[Pin Name]],tblHPS_NAND,4,FALSE),MSG!$B$10),MSG!$J$50),MSG!$J$12),MSG!$J$11),MSG!$J$10)</f>
        <v>HPS is not available in the selected device</v>
      </c>
      <c r="C280" s="90"/>
      <c r="D280" s="90"/>
      <c r="E280" s="173" t="str">
        <f>IF(var_OPN&lt;&gt;"",IF(varHasHPS="Yes",IF($C$26="Yes",IF($B$215="Yes",IFERROR(VLOOKUP(tblCHKHPSNAND[[#This Row],[Pin Name]],tblHPS_NAND,2,FALSE),MSG!$B$10),MSG!$J$50),MSG!$J$12),MSG!$J$11),MSG!$J$10)</f>
        <v>HPS is not available in the selected device</v>
      </c>
    </row>
    <row r="281" spans="1:5" ht="14" hidden="1" outlineLevel="2" collapsed="1" thickBot="1">
      <c r="A281" s="81" t="s">
        <v>1240</v>
      </c>
      <c r="B281" s="173" t="str">
        <f>IF(var_OPN&lt;&gt;"",IF(varHasHPS="Yes",IF($C$26="Yes",IF($B$215="Yes",IFERROR(VLOOKUP(tblCHKHPSNAND[[#This Row],[Pin Name]],tblHPS_NAND,4,FALSE),MSG!$B$10),MSG!$J$50),MSG!$J$12),MSG!$J$11),MSG!$J$10)</f>
        <v>HPS is not available in the selected device</v>
      </c>
      <c r="C281" s="90"/>
      <c r="D281" s="90"/>
      <c r="E281" s="173" t="str">
        <f>IF(var_OPN&lt;&gt;"",IF(varHasHPS="Yes",IF($C$26="Yes",IF($B$215="Yes",IFERROR(VLOOKUP(tblCHKHPSNAND[[#This Row],[Pin Name]],tblHPS_NAND,2,FALSE),MSG!$B$10),MSG!$J$50),MSG!$J$12),MSG!$J$11),MSG!$J$10)</f>
        <v>HPS is not available in the selected device</v>
      </c>
    </row>
    <row r="282" spans="1:5" ht="14" outlineLevel="1" collapsed="1" thickBot="1"/>
    <row r="283" spans="1:5" ht="14" outlineLevel="1" thickBot="1">
      <c r="A283" s="83" t="s">
        <v>184</v>
      </c>
      <c r="B283" s="122"/>
      <c r="C283" s="123"/>
      <c r="D283" s="123"/>
      <c r="E283" s="122"/>
    </row>
    <row r="284" spans="1:5" ht="14" hidden="1" outlineLevel="2" thickBot="1">
      <c r="A284" s="83" t="s">
        <v>30</v>
      </c>
      <c r="B284" s="83" t="s">
        <v>31</v>
      </c>
      <c r="C284" s="83" t="s">
        <v>32</v>
      </c>
      <c r="D284" s="83" t="s">
        <v>33</v>
      </c>
      <c r="E284" s="83" t="s">
        <v>34</v>
      </c>
    </row>
    <row r="285" spans="1:5" ht="15" hidden="1" outlineLevel="2" thickBot="1">
      <c r="A285" t="s">
        <v>1242</v>
      </c>
      <c r="B285" s="173" t="str">
        <f>IF(var_OPN&lt;&gt;"",IF(varHasHPS="Yes",IF($C$26="Yes",IF($B$216="Yes",IFERROR(VLOOKUP(tblCHKHPSUSB[[#This Row],[Pin Name]],tblHPS_USB,4,FALSE),MSG!$B$10),MSG!$J$60),MSG!$J$12),MSG!$J$11),MSG!$J$10)</f>
        <v>HPS is not available in the selected device</v>
      </c>
      <c r="C285" s="90"/>
      <c r="D285" s="90"/>
      <c r="E285" s="173" t="str">
        <f>IF(var_OPN&lt;&gt;"",IF(varHasHPS="Yes",IF($C$26="Yes",IF($B$216="Yes",IFERROR(VLOOKUP(tblCHKHPSUSB[[#This Row],[Pin Name]],tblHPS_USB,2,FALSE),MSG!$B$10),MSG!$J$60),MSG!$J$12),MSG!$J$11),MSG!$J$10)</f>
        <v>HPS is not available in the selected device</v>
      </c>
    </row>
    <row r="286" spans="1:5" ht="15" hidden="1" outlineLevel="2" thickBot="1">
      <c r="A286" t="s">
        <v>1243</v>
      </c>
      <c r="B286" s="173" t="str">
        <f>IF(var_OPN&lt;&gt;"",IF(varHasHPS="Yes",IF($C$26="Yes",IF($B$216="Yes",IFERROR(VLOOKUP(tblCHKHPSUSB[[#This Row],[Pin Name]],tblHPS_USB,4,FALSE),MSG!$B$10),MSG!$J$60),MSG!$J$12),MSG!$J$11),MSG!$J$10)</f>
        <v>HPS is not available in the selected device</v>
      </c>
      <c r="C286" s="90"/>
      <c r="D286" s="90"/>
      <c r="E286" s="173" t="str">
        <f>IF(var_OPN&lt;&gt;"",IF(varHasHPS="Yes",IF($C$26="Yes",IF($B$216="Yes",IFERROR(VLOOKUP(tblCHKHPSUSB[[#This Row],[Pin Name]],tblHPS_USB,2,FALSE),MSG!$B$10),MSG!$J$60),MSG!$J$12),MSG!$J$11),MSG!$J$10)</f>
        <v>HPS is not available in the selected device</v>
      </c>
    </row>
    <row r="287" spans="1:5" ht="15" hidden="1" outlineLevel="2" thickBot="1">
      <c r="A287" t="s">
        <v>1244</v>
      </c>
      <c r="B287" s="173" t="str">
        <f>IF(var_OPN&lt;&gt;"",IF(varHasHPS="Yes",IF($C$26="Yes",IF($B$216="Yes",IFERROR(VLOOKUP(tblCHKHPSUSB[[#This Row],[Pin Name]],tblHPS_USB,4,FALSE),MSG!$B$10),MSG!$J$60),MSG!$J$12),MSG!$J$11),MSG!$J$10)</f>
        <v>HPS is not available in the selected device</v>
      </c>
      <c r="C287" s="90"/>
      <c r="D287" s="90"/>
      <c r="E287" s="173" t="str">
        <f>IF(var_OPN&lt;&gt;"",IF(varHasHPS="Yes",IF($C$26="Yes",IF($B$216="Yes",IFERROR(VLOOKUP(tblCHKHPSUSB[[#This Row],[Pin Name]],tblHPS_USB,2,FALSE),MSG!$B$10),MSG!$J$60),MSG!$J$12),MSG!$J$11),MSG!$J$10)</f>
        <v>HPS is not available in the selected device</v>
      </c>
    </row>
    <row r="288" spans="1:5" ht="15" hidden="1" outlineLevel="2" thickBot="1">
      <c r="A288" t="s">
        <v>1245</v>
      </c>
      <c r="B288" s="173" t="str">
        <f>IF(var_OPN&lt;&gt;"",IF(varHasHPS="Yes",IF($C$26="Yes",IF($B$216="Yes",IFERROR(VLOOKUP(tblCHKHPSUSB[[#This Row],[Pin Name]],tblHPS_USB,4,FALSE),MSG!$B$10),MSG!$J$60),MSG!$J$12),MSG!$J$11),MSG!$J$10)</f>
        <v>HPS is not available in the selected device</v>
      </c>
      <c r="C288" s="90"/>
      <c r="D288" s="90"/>
      <c r="E288" s="173" t="str">
        <f>IF(var_OPN&lt;&gt;"",IF(varHasHPS="Yes",IF($C$26="Yes",IF($B$216="Yes",IFERROR(VLOOKUP(tblCHKHPSUSB[[#This Row],[Pin Name]],tblHPS_USB,2,FALSE),MSG!$B$10),MSG!$J$60),MSG!$J$12),MSG!$J$11),MSG!$J$10)</f>
        <v>HPS is not available in the selected device</v>
      </c>
    </row>
    <row r="289" spans="1:5" ht="15" hidden="1" outlineLevel="2" thickBot="1">
      <c r="A289" t="s">
        <v>1246</v>
      </c>
      <c r="B289" s="173" t="str">
        <f>IF(var_OPN&lt;&gt;"",IF(varHasHPS="Yes",IF($C$26="Yes",IF($B$216="Yes",IFERROR(VLOOKUP(tblCHKHPSUSB[[#This Row],[Pin Name]],tblHPS_USB,4,FALSE),MSG!$B$10),MSG!$J$60),MSG!$J$12),MSG!$J$11),MSG!$J$10)</f>
        <v>HPS is not available in the selected device</v>
      </c>
      <c r="C289" s="90"/>
      <c r="D289" s="90"/>
      <c r="E289" s="173" t="str">
        <f>IF(var_OPN&lt;&gt;"",IF(varHasHPS="Yes",IF($C$26="Yes",IF($B$216="Yes",IFERROR(VLOOKUP(tblCHKHPSUSB[[#This Row],[Pin Name]],tblHPS_USB,2,FALSE),MSG!$B$10),MSG!$J$60),MSG!$J$12),MSG!$J$11),MSG!$J$10)</f>
        <v>HPS is not available in the selected device</v>
      </c>
    </row>
    <row r="290" spans="1:5" ht="15" hidden="1" outlineLevel="2" thickBot="1">
      <c r="A290" t="s">
        <v>1247</v>
      </c>
      <c r="B290" s="173" t="str">
        <f>IF(var_OPN&lt;&gt;"",IF(varHasHPS="Yes",IF($C$26="Yes",IF($B$216="Yes",IFERROR(VLOOKUP(tblCHKHPSUSB[[#This Row],[Pin Name]],tblHPS_USB,4,FALSE),MSG!$B$10),MSG!$J$60),MSG!$J$12),MSG!$J$11),MSG!$J$10)</f>
        <v>HPS is not available in the selected device</v>
      </c>
      <c r="C290" s="90"/>
      <c r="D290" s="90"/>
      <c r="E290" s="173" t="str">
        <f>IF(var_OPN&lt;&gt;"",IF(varHasHPS="Yes",IF($C$26="Yes",IF($B$216="Yes",IFERROR(VLOOKUP(tblCHKHPSUSB[[#This Row],[Pin Name]],tblHPS_USB,2,FALSE),MSG!$B$10),MSG!$J$60),MSG!$J$12),MSG!$J$11),MSG!$J$10)</f>
        <v>HPS is not available in the selected device</v>
      </c>
    </row>
    <row r="291" spans="1:5" ht="15" hidden="1" outlineLevel="2" thickBot="1">
      <c r="A291" t="s">
        <v>1248</v>
      </c>
      <c r="B291" s="173" t="str">
        <f>IF(var_OPN&lt;&gt;"",IF(varHasHPS="Yes",IF($C$26="Yes",IF($B$216="Yes",IFERROR(VLOOKUP(tblCHKHPSUSB[[#This Row],[Pin Name]],tblHPS_USB,4,FALSE),MSG!$B$10),MSG!$J$60),MSG!$J$12),MSG!$J$11),MSG!$J$10)</f>
        <v>HPS is not available in the selected device</v>
      </c>
      <c r="C291" s="90"/>
      <c r="D291" s="90"/>
      <c r="E291" s="173" t="str">
        <f>IF(var_OPN&lt;&gt;"",IF(varHasHPS="Yes",IF($C$26="Yes",IF($B$216="Yes",IFERROR(VLOOKUP(tblCHKHPSUSB[[#This Row],[Pin Name]],tblHPS_USB,2,FALSE),MSG!$B$10),MSG!$J$60),MSG!$J$12),MSG!$J$11),MSG!$J$10)</f>
        <v>HPS is not available in the selected device</v>
      </c>
    </row>
    <row r="292" spans="1:5" ht="15" hidden="1" outlineLevel="2" thickBot="1">
      <c r="A292" t="s">
        <v>1249</v>
      </c>
      <c r="B292" s="173" t="str">
        <f>IF(var_OPN&lt;&gt;"",IF(varHasHPS="Yes",IF($C$26="Yes",IF($B$216="Yes",IFERROR(VLOOKUP(tblCHKHPSUSB[[#This Row],[Pin Name]],tblHPS_USB,4,FALSE),MSG!$B$10),MSG!$J$60),MSG!$J$12),MSG!$J$11),MSG!$J$10)</f>
        <v>HPS is not available in the selected device</v>
      </c>
      <c r="C292" s="90"/>
      <c r="D292" s="90"/>
      <c r="E292" s="173" t="str">
        <f>IF(var_OPN&lt;&gt;"",IF(varHasHPS="Yes",IF($C$26="Yes",IF($B$216="Yes",IFERROR(VLOOKUP(tblCHKHPSUSB[[#This Row],[Pin Name]],tblHPS_USB,2,FALSE),MSG!$B$10),MSG!$J$60),MSG!$J$12),MSG!$J$11),MSG!$J$10)</f>
        <v>HPS is not available in the selected device</v>
      </c>
    </row>
    <row r="293" spans="1:5" ht="15" hidden="1" outlineLevel="2" thickBot="1">
      <c r="A293" t="s">
        <v>1250</v>
      </c>
      <c r="B293" s="173" t="str">
        <f>IF(var_OPN&lt;&gt;"",IF(varHasHPS="Yes",IF($C$26="Yes",IF($B$216="Yes",IFERROR(VLOOKUP(tblCHKHPSUSB[[#This Row],[Pin Name]],tblHPS_USB,4,FALSE),MSG!$B$10),MSG!$J$60),MSG!$J$12),MSG!$J$11),MSG!$J$10)</f>
        <v>HPS is not available in the selected device</v>
      </c>
      <c r="C293" s="90"/>
      <c r="D293" s="90"/>
      <c r="E293" s="173" t="str">
        <f>IF(var_OPN&lt;&gt;"",IF(varHasHPS="Yes",IF($C$26="Yes",IF($B$216="Yes",IFERROR(VLOOKUP(tblCHKHPSUSB[[#This Row],[Pin Name]],tblHPS_USB,2,FALSE),MSG!$B$10),MSG!$J$60),MSG!$J$12),MSG!$J$11),MSG!$J$10)</f>
        <v>HPS is not available in the selected device</v>
      </c>
    </row>
    <row r="294" spans="1:5" ht="15" hidden="1" outlineLevel="2" thickBot="1">
      <c r="A294" t="s">
        <v>1251</v>
      </c>
      <c r="B294" s="173" t="str">
        <f>IF(var_OPN&lt;&gt;"",IF(varHasHPS="Yes",IF($C$26="Yes",IF($B$216="Yes",IFERROR(VLOOKUP(tblCHKHPSUSB[[#This Row],[Pin Name]],tblHPS_USB,4,FALSE),MSG!$B$10),MSG!$J$60),MSG!$J$12),MSG!$J$11),MSG!$J$10)</f>
        <v>HPS is not available in the selected device</v>
      </c>
      <c r="C294" s="90"/>
      <c r="D294" s="90"/>
      <c r="E294" s="173" t="str">
        <f>IF(var_OPN&lt;&gt;"",IF(varHasHPS="Yes",IF($C$26="Yes",IF($B$216="Yes",IFERROR(VLOOKUP(tblCHKHPSUSB[[#This Row],[Pin Name]],tblHPS_USB,2,FALSE),MSG!$B$10),MSG!$J$60),MSG!$J$12),MSG!$J$11),MSG!$J$10)</f>
        <v>HPS is not available in the selected device</v>
      </c>
    </row>
    <row r="295" spans="1:5" ht="15" hidden="1" outlineLevel="2" thickBot="1">
      <c r="A295" t="s">
        <v>1252</v>
      </c>
      <c r="B295" s="173" t="str">
        <f>IF(var_OPN&lt;&gt;"",IF(varHasHPS="Yes",IF($C$26="Yes",IF($B$216="Yes",IFERROR(VLOOKUP(tblCHKHPSUSB[[#This Row],[Pin Name]],tblHPS_USB,4,FALSE),MSG!$B$10),MSG!$J$60),MSG!$J$12),MSG!$J$11),MSG!$J$10)</f>
        <v>HPS is not available in the selected device</v>
      </c>
      <c r="C295" s="90"/>
      <c r="D295" s="90"/>
      <c r="E295" s="173" t="str">
        <f>IF(var_OPN&lt;&gt;"",IF(varHasHPS="Yes",IF($C$26="Yes",IF($B$216="Yes",IFERROR(VLOOKUP(tblCHKHPSUSB[[#This Row],[Pin Name]],tblHPS_USB,2,FALSE),MSG!$B$10),MSG!$J$60),MSG!$J$12),MSG!$J$11),MSG!$J$10)</f>
        <v>HPS is not available in the selected device</v>
      </c>
    </row>
    <row r="296" spans="1:5" ht="15" hidden="1" outlineLevel="2" thickBot="1">
      <c r="A296" t="s">
        <v>1253</v>
      </c>
      <c r="B296" s="173" t="str">
        <f>IF(var_OPN&lt;&gt;"",IF(varHasHPS="Yes",IF($C$26="Yes",IF($B$216="Yes",IFERROR(VLOOKUP(tblCHKHPSUSB[[#This Row],[Pin Name]],tblHPS_USB,4,FALSE),MSG!$B$10),MSG!$J$60),MSG!$J$12),MSG!$J$11),MSG!$J$10)</f>
        <v>HPS is not available in the selected device</v>
      </c>
      <c r="C296" s="90"/>
      <c r="D296" s="90"/>
      <c r="E296" s="173" t="str">
        <f>IF(var_OPN&lt;&gt;"",IF(varHasHPS="Yes",IF($C$26="Yes",IF($B$216="Yes",IFERROR(VLOOKUP(tblCHKHPSUSB[[#This Row],[Pin Name]],tblHPS_USB,2,FALSE),MSG!$B$10),MSG!$J$60),MSG!$J$12),MSG!$J$11),MSG!$J$10)</f>
        <v>HPS is not available in the selected device</v>
      </c>
    </row>
    <row r="297" spans="1:5" ht="15" hidden="1" outlineLevel="2" collapsed="1" thickBot="1">
      <c r="A297" t="s">
        <v>1254</v>
      </c>
      <c r="B297" s="173" t="str">
        <f>IF(var_OPN&lt;&gt;"",IF(varHasHPS="Yes",IF($C$26="Yes",IF($B$216="Yes",IFERROR(VLOOKUP(tblCHKHPSUSB[[#This Row],[Pin Name]],tblHPS_USB,4,FALSE),MSG!$B$10),MSG!$J$60),MSG!$J$12),MSG!$J$11),MSG!$J$10)</f>
        <v>HPS is not available in the selected device</v>
      </c>
      <c r="C297" s="90"/>
      <c r="D297" s="90"/>
      <c r="E297" s="173" t="str">
        <f>IF(var_OPN&lt;&gt;"",IF(varHasHPS="Yes",IF($C$26="Yes",IF($B$216="Yes",IFERROR(VLOOKUP(tblCHKHPSUSB[[#This Row],[Pin Name]],tblHPS_USB,2,FALSE),MSG!$B$10),MSG!$J$60),MSG!$J$12),MSG!$J$11),MSG!$J$10)</f>
        <v>HPS is not available in the selected device</v>
      </c>
    </row>
    <row r="298" spans="1:5" ht="15" hidden="1" outlineLevel="2" thickBot="1">
      <c r="A298" t="s">
        <v>1255</v>
      </c>
      <c r="B298" s="173" t="str">
        <f>IF(var_OPN&lt;&gt;"",IF(varHasHPS="Yes",IF($C$26="Yes",IF($B$216="Yes",IFERROR(VLOOKUP(tblCHKHPSUSB[[#This Row],[Pin Name]],tblHPS_USB,4,FALSE),MSG!$B$10),MSG!$J$60),MSG!$J$12),MSG!$J$11),MSG!$J$10)</f>
        <v>HPS is not available in the selected device</v>
      </c>
      <c r="C298" s="90"/>
      <c r="D298" s="90"/>
      <c r="E298" s="173" t="str">
        <f>IF(var_OPN&lt;&gt;"",IF(varHasHPS="Yes",IF($C$26="Yes",IF($B$216="Yes",IFERROR(VLOOKUP(tblCHKHPSUSB[[#This Row],[Pin Name]],tblHPS_USB,2,FALSE),MSG!$B$10),MSG!$J$60),MSG!$J$12),MSG!$J$11),MSG!$J$10)</f>
        <v>HPS is not available in the selected device</v>
      </c>
    </row>
    <row r="299" spans="1:5" ht="15" hidden="1" outlineLevel="2" thickBot="1">
      <c r="A299" t="s">
        <v>1256</v>
      </c>
      <c r="B299" s="173" t="str">
        <f>IF(var_OPN&lt;&gt;"",IF(varHasHPS="Yes",IF($C$26="Yes",IF($B$216="Yes",IFERROR(VLOOKUP(tblCHKHPSUSB[[#This Row],[Pin Name]],tblHPS_USB,4,FALSE),MSG!$B$10),MSG!$J$60),MSG!$J$12),MSG!$J$11),MSG!$J$10)</f>
        <v>HPS is not available in the selected device</v>
      </c>
      <c r="C299" s="90"/>
      <c r="D299" s="90"/>
      <c r="E299" s="173" t="str">
        <f>IF(var_OPN&lt;&gt;"",IF(varHasHPS="Yes",IF($C$26="Yes",IF($B$216="Yes",IFERROR(VLOOKUP(tblCHKHPSUSB[[#This Row],[Pin Name]],tblHPS_USB,2,FALSE),MSG!$B$10),MSG!$J$60),MSG!$J$12),MSG!$J$11),MSG!$J$10)</f>
        <v>HPS is not available in the selected device</v>
      </c>
    </row>
    <row r="300" spans="1:5" ht="15" hidden="1" outlineLevel="2" thickBot="1">
      <c r="A300" t="s">
        <v>1257</v>
      </c>
      <c r="B300" s="173" t="str">
        <f>IF(var_OPN&lt;&gt;"",IF(varHasHPS="Yes",IF($C$26="Yes",IF($B$216="Yes",IFERROR(VLOOKUP(tblCHKHPSUSB[[#This Row],[Pin Name]],tblHPS_USB,4,FALSE),MSG!$B$10),MSG!$J$60),MSG!$J$12),MSG!$J$11),MSG!$J$10)</f>
        <v>HPS is not available in the selected device</v>
      </c>
      <c r="C300" s="90"/>
      <c r="D300" s="90"/>
      <c r="E300" s="173" t="str">
        <f>IF(var_OPN&lt;&gt;"",IF(varHasHPS="Yes",IF($C$26="Yes",IF($B$216="Yes",IFERROR(VLOOKUP(tblCHKHPSUSB[[#This Row],[Pin Name]],tblHPS_USB,2,FALSE),MSG!$B$10),MSG!$J$60),MSG!$J$12),MSG!$J$11),MSG!$J$10)</f>
        <v>HPS is not available in the selected device</v>
      </c>
    </row>
    <row r="301" spans="1:5" ht="15" hidden="1" outlineLevel="2" thickBot="1">
      <c r="A301" t="s">
        <v>1258</v>
      </c>
      <c r="B301" s="173" t="str">
        <f>IF(var_OPN&lt;&gt;"",IF(varHasHPS="Yes",IF($C$26="Yes",IF($B$216="Yes",IFERROR(VLOOKUP(tblCHKHPSUSB[[#This Row],[Pin Name]],tblHPS_USB,4,FALSE),MSG!$B$10),MSG!$J$60),MSG!$J$12),MSG!$J$11),MSG!$J$10)</f>
        <v>HPS is not available in the selected device</v>
      </c>
      <c r="C301" s="90"/>
      <c r="D301" s="90"/>
      <c r="E301" s="173" t="str">
        <f>IF(var_OPN&lt;&gt;"",IF(varHasHPS="Yes",IF($C$26="Yes",IF($B$216="Yes",IFERROR(VLOOKUP(tblCHKHPSUSB[[#This Row],[Pin Name]],tblHPS_USB,2,FALSE),MSG!$B$10),MSG!$J$60),MSG!$J$12),MSG!$J$11),MSG!$J$10)</f>
        <v>HPS is not available in the selected device</v>
      </c>
    </row>
    <row r="302" spans="1:5" ht="15" hidden="1" outlineLevel="2" thickBot="1">
      <c r="A302" t="s">
        <v>1259</v>
      </c>
      <c r="B302" s="173" t="str">
        <f>IF(var_OPN&lt;&gt;"",IF(varHasHPS="Yes",IF($C$26="Yes",IF($B$216="Yes",IFERROR(VLOOKUP(tblCHKHPSUSB[[#This Row],[Pin Name]],tblHPS_USB,4,FALSE),MSG!$B$10),MSG!$J$60),MSG!$J$12),MSG!$J$11),MSG!$J$10)</f>
        <v>HPS is not available in the selected device</v>
      </c>
      <c r="C302" s="90"/>
      <c r="D302" s="90"/>
      <c r="E302" s="173" t="str">
        <f>IF(var_OPN&lt;&gt;"",IF(varHasHPS="Yes",IF($C$26="Yes",IF($B$216="Yes",IFERROR(VLOOKUP(tblCHKHPSUSB[[#This Row],[Pin Name]],tblHPS_USB,2,FALSE),MSG!$B$10),MSG!$J$60),MSG!$J$12),MSG!$J$11),MSG!$J$10)</f>
        <v>HPS is not available in the selected device</v>
      </c>
    </row>
    <row r="303" spans="1:5" ht="15" hidden="1" outlineLevel="2" thickBot="1">
      <c r="A303" t="s">
        <v>1260</v>
      </c>
      <c r="B303" s="173" t="str">
        <f>IF(var_OPN&lt;&gt;"",IF(varHasHPS="Yes",IF($C$26="Yes",IF($B$216="Yes",IFERROR(VLOOKUP(tblCHKHPSUSB[[#This Row],[Pin Name]],tblHPS_USB,4,FALSE),MSG!$B$10),MSG!$J$60),MSG!$J$12),MSG!$J$11),MSG!$J$10)</f>
        <v>HPS is not available in the selected device</v>
      </c>
      <c r="C303" s="90"/>
      <c r="D303" s="90"/>
      <c r="E303" s="173" t="str">
        <f>IF(var_OPN&lt;&gt;"",IF(varHasHPS="Yes",IF($C$26="Yes",IF($B$216="Yes",IFERROR(VLOOKUP(tblCHKHPSUSB[[#This Row],[Pin Name]],tblHPS_USB,2,FALSE),MSG!$B$10),MSG!$J$60),MSG!$J$12),MSG!$J$11),MSG!$J$10)</f>
        <v>HPS is not available in the selected device</v>
      </c>
    </row>
    <row r="304" spans="1:5" ht="15" hidden="1" outlineLevel="2" thickBot="1">
      <c r="A304" t="s">
        <v>1261</v>
      </c>
      <c r="B304" s="173" t="str">
        <f>IF(var_OPN&lt;&gt;"",IF(varHasHPS="Yes",IF($C$26="Yes",IF($B$216="Yes",IFERROR(VLOOKUP(tblCHKHPSUSB[[#This Row],[Pin Name]],tblHPS_USB,4,FALSE),MSG!$B$10),MSG!$J$60),MSG!$J$12),MSG!$J$11),MSG!$J$10)</f>
        <v>HPS is not available in the selected device</v>
      </c>
      <c r="C304" s="90"/>
      <c r="D304" s="90"/>
      <c r="E304" s="173" t="str">
        <f>IF(var_OPN&lt;&gt;"",IF(varHasHPS="Yes",IF($C$26="Yes",IF($B$216="Yes",IFERROR(VLOOKUP(tblCHKHPSUSB[[#This Row],[Pin Name]],tblHPS_USB,2,FALSE),MSG!$B$10),MSG!$J$60),MSG!$J$12),MSG!$J$11),MSG!$J$10)</f>
        <v>HPS is not available in the selected device</v>
      </c>
    </row>
    <row r="305" spans="1:5" ht="15" hidden="1" outlineLevel="2" thickBot="1">
      <c r="A305" t="s">
        <v>1262</v>
      </c>
      <c r="B305" s="173" t="str">
        <f>IF(var_OPN&lt;&gt;"",IF(varHasHPS="Yes",IF($C$26="Yes",IF($B$216="Yes",IFERROR(VLOOKUP(tblCHKHPSUSB[[#This Row],[Pin Name]],tblHPS_USB,4,FALSE),MSG!$B$10),MSG!$J$60),MSG!$J$12),MSG!$J$11),MSG!$J$10)</f>
        <v>HPS is not available in the selected device</v>
      </c>
      <c r="C305" s="90"/>
      <c r="D305" s="90"/>
      <c r="E305" s="173" t="str">
        <f>IF(var_OPN&lt;&gt;"",IF(varHasHPS="Yes",IF($C$26="Yes",IF($B$216="Yes",IFERROR(VLOOKUP(tblCHKHPSUSB[[#This Row],[Pin Name]],tblHPS_USB,2,FALSE),MSG!$B$10),MSG!$J$60),MSG!$J$12),MSG!$J$11),MSG!$J$10)</f>
        <v>HPS is not available in the selected device</v>
      </c>
    </row>
    <row r="306" spans="1:5" ht="15" hidden="1" outlineLevel="2" thickBot="1">
      <c r="A306" t="s">
        <v>1263</v>
      </c>
      <c r="B306" s="173" t="str">
        <f>IF(var_OPN&lt;&gt;"",IF(varHasHPS="Yes",IF($C$26="Yes",IF($B$216="Yes",IFERROR(VLOOKUP(tblCHKHPSUSB[[#This Row],[Pin Name]],tblHPS_USB,4,FALSE),MSG!$B$10),MSG!$J$60),MSG!$J$12),MSG!$J$11),MSG!$J$10)</f>
        <v>HPS is not available in the selected device</v>
      </c>
      <c r="C306" s="90"/>
      <c r="D306" s="90"/>
      <c r="E306" s="173" t="str">
        <f>IF(var_OPN&lt;&gt;"",IF(varHasHPS="Yes",IF($C$26="Yes",IF($B$216="Yes",IFERROR(VLOOKUP(tblCHKHPSUSB[[#This Row],[Pin Name]],tblHPS_USB,2,FALSE),MSG!$B$10),MSG!$J$60),MSG!$J$12),MSG!$J$11),MSG!$J$10)</f>
        <v>HPS is not available in the selected device</v>
      </c>
    </row>
    <row r="307" spans="1:5" ht="15" hidden="1" outlineLevel="2" thickBot="1">
      <c r="A307" t="s">
        <v>1264</v>
      </c>
      <c r="B307" s="173" t="str">
        <f>IF(var_OPN&lt;&gt;"",IF(varHasHPS="Yes",IF($C$26="Yes",IF($B$216="Yes",IFERROR(VLOOKUP(tblCHKHPSUSB[[#This Row],[Pin Name]],tblHPS_USB,4,FALSE),MSG!$B$10),MSG!$J$60),MSG!$J$12),MSG!$J$11),MSG!$J$10)</f>
        <v>HPS is not available in the selected device</v>
      </c>
      <c r="C307" s="90"/>
      <c r="D307" s="90"/>
      <c r="E307" s="173" t="str">
        <f>IF(var_OPN&lt;&gt;"",IF(varHasHPS="Yes",IF($C$26="Yes",IF($B$216="Yes",IFERROR(VLOOKUP(tblCHKHPSUSB[[#This Row],[Pin Name]],tblHPS_USB,2,FALSE),MSG!$B$10),MSG!$J$60),MSG!$J$12),MSG!$J$11),MSG!$J$10)</f>
        <v>HPS is not available in the selected device</v>
      </c>
    </row>
    <row r="308" spans="1:5" ht="15" hidden="1" outlineLevel="2" collapsed="1" thickBot="1">
      <c r="A308" t="s">
        <v>1265</v>
      </c>
      <c r="B308" s="173" t="str">
        <f>IF(var_OPN&lt;&gt;"",IF(varHasHPS="Yes",IF($C$26="Yes",IF($B$216="Yes",IFERROR(VLOOKUP(tblCHKHPSUSB[[#This Row],[Pin Name]],tblHPS_USB,4,FALSE),MSG!$B$10),MSG!$J$60),MSG!$J$12),MSG!$J$11),MSG!$J$10)</f>
        <v>HPS is not available in the selected device</v>
      </c>
      <c r="C308" s="90"/>
      <c r="D308" s="90"/>
      <c r="E308" s="173" t="str">
        <f>IF(var_OPN&lt;&gt;"",IF(varHasHPS="Yes",IF($C$26="Yes",IF($B$216="Yes",IFERROR(VLOOKUP(tblCHKHPSUSB[[#This Row],[Pin Name]],tblHPS_USB,2,FALSE),MSG!$B$10),MSG!$J$60),MSG!$J$12),MSG!$J$11),MSG!$J$10)</f>
        <v>HPS is not available in the selected device</v>
      </c>
    </row>
    <row r="309" spans="1:5" ht="14" outlineLevel="1" collapsed="1" thickBot="1"/>
    <row r="310" spans="1:5" ht="14" outlineLevel="1" thickBot="1">
      <c r="A310" s="83" t="s">
        <v>185</v>
      </c>
      <c r="B310" s="122"/>
      <c r="C310" s="123"/>
      <c r="D310" s="123"/>
      <c r="E310" s="122"/>
    </row>
    <row r="311" spans="1:5" ht="14" hidden="1" outlineLevel="2" thickBot="1">
      <c r="A311" s="83" t="s">
        <v>30</v>
      </c>
      <c r="B311" s="83" t="s">
        <v>31</v>
      </c>
      <c r="C311" s="83" t="s">
        <v>32</v>
      </c>
      <c r="D311" s="83" t="s">
        <v>33</v>
      </c>
      <c r="E311" s="83" t="s">
        <v>34</v>
      </c>
    </row>
    <row r="312" spans="1:5" ht="14" hidden="1" outlineLevel="2" thickBot="1">
      <c r="A312" s="81" t="s">
        <v>1288</v>
      </c>
      <c r="B312" s="173" t="str">
        <f>IF(var_OPN&lt;&gt;"",IF(varHasHPS="Yes",IF($C$26="Yes",IF($B$217="Yes",IFERROR(VLOOKUP(tblCHKHPSEMAC[[#This Row],[Pin Name]],tblHPS_EMAC,4,FALSE),MSG!$B$10),MSG!$J$70),MSG!$J$12),MSG!$J$11),MSG!$J$10)</f>
        <v>HPS is not available in the selected device</v>
      </c>
      <c r="C312" s="90"/>
      <c r="D312" s="90"/>
      <c r="E312" s="173" t="str">
        <f>IF(var_OPN&lt;&gt;"",IF(varHasHPS="Yes",IF($C$26="Yes",IF($B$217="Yes",IFERROR(VLOOKUP(tblCHKHPSEMAC[[#This Row],[Pin Name]],tblHPS_EMAC,2,FALSE),MSG!$B$10),MSG!$J$70),MSG!$J$12),MSG!$J$11),MSG!$J$10)</f>
        <v>HPS is not available in the selected device</v>
      </c>
    </row>
    <row r="313" spans="1:5" ht="14" hidden="1" outlineLevel="2" thickBot="1">
      <c r="A313" s="81" t="s">
        <v>1289</v>
      </c>
      <c r="B313" s="173" t="str">
        <f>IF(var_OPN&lt;&gt;"",IF(varHasHPS="Yes",IF($C$26="Yes",IF($B$217="Yes",IFERROR(VLOOKUP(tblCHKHPSEMAC[[#This Row],[Pin Name]],tblHPS_EMAC,4,FALSE),MSG!$B$10),MSG!$J$70),MSG!$J$12),MSG!$J$11),MSG!$J$10)</f>
        <v>HPS is not available in the selected device</v>
      </c>
      <c r="C313" s="90"/>
      <c r="D313" s="90"/>
      <c r="E313" s="173" t="str">
        <f>IF(var_OPN&lt;&gt;"",IF(varHasHPS="Yes",IF($C$26="Yes",IF($B$217="Yes",IFERROR(VLOOKUP(tblCHKHPSEMAC[[#This Row],[Pin Name]],tblHPS_EMAC,2,FALSE),MSG!$B$10),MSG!$J$70),MSG!$J$12),MSG!$J$11),MSG!$J$10)</f>
        <v>HPS is not available in the selected device</v>
      </c>
    </row>
    <row r="314" spans="1:5" ht="14" hidden="1" outlineLevel="2" thickBot="1">
      <c r="A314" s="81" t="s">
        <v>1290</v>
      </c>
      <c r="B314" s="173" t="str">
        <f>IF(var_OPN&lt;&gt;"",IF(varHasHPS="Yes",IF($C$26="Yes",IF($B$217="Yes",IFERROR(VLOOKUP(tblCHKHPSEMAC[[#This Row],[Pin Name]],tblHPS_EMAC,4,FALSE),MSG!$B$10),MSG!$J$70),MSG!$J$12),MSG!$J$11),MSG!$J$10)</f>
        <v>HPS is not available in the selected device</v>
      </c>
      <c r="C314" s="90"/>
      <c r="D314" s="90"/>
      <c r="E314" s="173" t="str">
        <f>IF(var_OPN&lt;&gt;"",IF(varHasHPS="Yes",IF($C$26="Yes",IF($B$217="Yes",IFERROR(VLOOKUP(tblCHKHPSEMAC[[#This Row],[Pin Name]],tblHPS_EMAC,2,FALSE),MSG!$B$10),MSG!$J$70),MSG!$J$12),MSG!$J$11),MSG!$J$10)</f>
        <v>HPS is not available in the selected device</v>
      </c>
    </row>
    <row r="315" spans="1:5" ht="14" hidden="1" outlineLevel="2" thickBot="1">
      <c r="A315" s="81" t="s">
        <v>1291</v>
      </c>
      <c r="B315" s="173" t="str">
        <f>IF(var_OPN&lt;&gt;"",IF(varHasHPS="Yes",IF($C$26="Yes",IF($B$217="Yes",IFERROR(VLOOKUP(tblCHKHPSEMAC[[#This Row],[Pin Name]],tblHPS_EMAC,4,FALSE),MSG!$B$10),MSG!$J$70),MSG!$J$12),MSG!$J$11),MSG!$J$10)</f>
        <v>HPS is not available in the selected device</v>
      </c>
      <c r="C315" s="90"/>
      <c r="D315" s="90"/>
      <c r="E315" s="173" t="str">
        <f>IF(var_OPN&lt;&gt;"",IF(varHasHPS="Yes",IF($C$26="Yes",IF($B$217="Yes",IFERROR(VLOOKUP(tblCHKHPSEMAC[[#This Row],[Pin Name]],tblHPS_EMAC,2,FALSE),MSG!$B$10),MSG!$J$70),MSG!$J$12),MSG!$J$11),MSG!$J$10)</f>
        <v>HPS is not available in the selected device</v>
      </c>
    </row>
    <row r="316" spans="1:5" ht="14" hidden="1" outlineLevel="2" thickBot="1">
      <c r="A316" s="81" t="s">
        <v>1292</v>
      </c>
      <c r="B316" s="173" t="str">
        <f>IF(var_OPN&lt;&gt;"",IF(varHasHPS="Yes",IF($C$26="Yes",IF($B$217="Yes",IFERROR(VLOOKUP(tblCHKHPSEMAC[[#This Row],[Pin Name]],tblHPS_EMAC,4,FALSE),MSG!$B$10),MSG!$J$70),MSG!$J$12),MSG!$J$11),MSG!$J$10)</f>
        <v>HPS is not available in the selected device</v>
      </c>
      <c r="C316" s="90"/>
      <c r="D316" s="90"/>
      <c r="E316" s="173" t="str">
        <f>IF(var_OPN&lt;&gt;"",IF(varHasHPS="Yes",IF($C$26="Yes",IF($B$217="Yes",IFERROR(VLOOKUP(tblCHKHPSEMAC[[#This Row],[Pin Name]],tblHPS_EMAC,2,FALSE),MSG!$B$10),MSG!$J$70),MSG!$J$12),MSG!$J$11),MSG!$J$10)</f>
        <v>HPS is not available in the selected device</v>
      </c>
    </row>
    <row r="317" spans="1:5" ht="14" hidden="1" outlineLevel="2" thickBot="1">
      <c r="A317" s="81" t="s">
        <v>1293</v>
      </c>
      <c r="B317" s="173" t="str">
        <f>IF(var_OPN&lt;&gt;"",IF(varHasHPS="Yes",IF($C$26="Yes",IF($B$217="Yes",IFERROR(VLOOKUP(tblCHKHPSEMAC[[#This Row],[Pin Name]],tblHPS_EMAC,4,FALSE),MSG!$B$10),MSG!$J$70),MSG!$J$12),MSG!$J$11),MSG!$J$10)</f>
        <v>HPS is not available in the selected device</v>
      </c>
      <c r="C317" s="90"/>
      <c r="D317" s="90"/>
      <c r="E317" s="173" t="str">
        <f>IF(var_OPN&lt;&gt;"",IF(varHasHPS="Yes",IF($C$26="Yes",IF($B$217="Yes",IFERROR(VLOOKUP(tblCHKHPSEMAC[[#This Row],[Pin Name]],tblHPS_EMAC,2,FALSE),MSG!$B$10),MSG!$J$70),MSG!$J$12),MSG!$J$11),MSG!$J$10)</f>
        <v>HPS is not available in the selected device</v>
      </c>
    </row>
    <row r="318" spans="1:5" ht="14" hidden="1" outlineLevel="2" thickBot="1">
      <c r="A318" s="81" t="s">
        <v>1294</v>
      </c>
      <c r="B318" s="173" t="str">
        <f>IF(var_OPN&lt;&gt;"",IF(varHasHPS="Yes",IF($C$26="Yes",IF($B$217="Yes",IFERROR(VLOOKUP(tblCHKHPSEMAC[[#This Row],[Pin Name]],tblHPS_EMAC,4,FALSE),MSG!$B$10),MSG!$J$70),MSG!$J$12),MSG!$J$11),MSG!$J$10)</f>
        <v>HPS is not available in the selected device</v>
      </c>
      <c r="C318" s="90"/>
      <c r="D318" s="90"/>
      <c r="E318" s="173" t="str">
        <f>IF(var_OPN&lt;&gt;"",IF(varHasHPS="Yes",IF($C$26="Yes",IF($B$217="Yes",IFERROR(VLOOKUP(tblCHKHPSEMAC[[#This Row],[Pin Name]],tblHPS_EMAC,2,FALSE),MSG!$B$10),MSG!$J$70),MSG!$J$12),MSG!$J$11),MSG!$J$10)</f>
        <v>HPS is not available in the selected device</v>
      </c>
    </row>
    <row r="319" spans="1:5" ht="14" hidden="1" outlineLevel="2" thickBot="1">
      <c r="A319" s="81" t="s">
        <v>1295</v>
      </c>
      <c r="B319" s="173" t="str">
        <f>IF(var_OPN&lt;&gt;"",IF(varHasHPS="Yes",IF($C$26="Yes",IF($B$217="Yes",IFERROR(VLOOKUP(tblCHKHPSEMAC[[#This Row],[Pin Name]],tblHPS_EMAC,4,FALSE),MSG!$B$10),MSG!$J$70),MSG!$J$12),MSG!$J$11),MSG!$J$10)</f>
        <v>HPS is not available in the selected device</v>
      </c>
      <c r="C319" s="90"/>
      <c r="D319" s="90"/>
      <c r="E319" s="173" t="str">
        <f>IF(var_OPN&lt;&gt;"",IF(varHasHPS="Yes",IF($C$26="Yes",IF($B$217="Yes",IFERROR(VLOOKUP(tblCHKHPSEMAC[[#This Row],[Pin Name]],tblHPS_EMAC,2,FALSE),MSG!$B$10),MSG!$J$70),MSG!$J$12),MSG!$J$11),MSG!$J$10)</f>
        <v>HPS is not available in the selected device</v>
      </c>
    </row>
    <row r="320" spans="1:5" ht="14" hidden="1" outlineLevel="2" thickBot="1">
      <c r="A320" s="81" t="s">
        <v>1296</v>
      </c>
      <c r="B320" s="173" t="str">
        <f>IF(var_OPN&lt;&gt;"",IF(varHasHPS="Yes",IF($C$26="Yes",IF($B$217="Yes",IFERROR(VLOOKUP(tblCHKHPSEMAC[[#This Row],[Pin Name]],tblHPS_EMAC,4,FALSE),MSG!$B$10),MSG!$J$70),MSG!$J$12),MSG!$J$11),MSG!$J$10)</f>
        <v>HPS is not available in the selected device</v>
      </c>
      <c r="C320" s="90"/>
      <c r="D320" s="90"/>
      <c r="E320" s="173" t="str">
        <f>IF(var_OPN&lt;&gt;"",IF(varHasHPS="Yes",IF($C$26="Yes",IF($B$217="Yes",IFERROR(VLOOKUP(tblCHKHPSEMAC[[#This Row],[Pin Name]],tblHPS_EMAC,2,FALSE),MSG!$B$10),MSG!$J$70),MSG!$J$12),MSG!$J$11),MSG!$J$10)</f>
        <v>HPS is not available in the selected device</v>
      </c>
    </row>
    <row r="321" spans="1:5" ht="14" hidden="1" outlineLevel="2" thickBot="1">
      <c r="A321" s="81" t="s">
        <v>1297</v>
      </c>
      <c r="B321" s="173" t="str">
        <f>IF(var_OPN&lt;&gt;"",IF(varHasHPS="Yes",IF($C$26="Yes",IF($B$217="Yes",IFERROR(VLOOKUP(tblCHKHPSEMAC[[#This Row],[Pin Name]],tblHPS_EMAC,4,FALSE),MSG!$B$10),MSG!$J$70),MSG!$J$12),MSG!$J$11),MSG!$J$10)</f>
        <v>HPS is not available in the selected device</v>
      </c>
      <c r="C321" s="90"/>
      <c r="D321" s="90"/>
      <c r="E321" s="173" t="str">
        <f>IF(var_OPN&lt;&gt;"",IF(varHasHPS="Yes",IF($C$26="Yes",IF($B$217="Yes",IFERROR(VLOOKUP(tblCHKHPSEMAC[[#This Row],[Pin Name]],tblHPS_EMAC,2,FALSE),MSG!$B$10),MSG!$J$70),MSG!$J$12),MSG!$J$11),MSG!$J$10)</f>
        <v>HPS is not available in the selected device</v>
      </c>
    </row>
    <row r="322" spans="1:5" ht="14" hidden="1" outlineLevel="2" thickBot="1">
      <c r="A322" s="81" t="s">
        <v>1298</v>
      </c>
      <c r="B322" s="173" t="str">
        <f>IF(var_OPN&lt;&gt;"",IF(varHasHPS="Yes",IF($C$26="Yes",IF($B$217="Yes",IFERROR(VLOOKUP(tblCHKHPSEMAC[[#This Row],[Pin Name]],tblHPS_EMAC,4,FALSE),MSG!$B$10),MSG!$J$70),MSG!$J$12),MSG!$J$11),MSG!$J$10)</f>
        <v>HPS is not available in the selected device</v>
      </c>
      <c r="C322" s="90"/>
      <c r="D322" s="90"/>
      <c r="E322" s="173" t="str">
        <f>IF(var_OPN&lt;&gt;"",IF(varHasHPS="Yes",IF($C$26="Yes",IF($B$217="Yes",IFERROR(VLOOKUP(tblCHKHPSEMAC[[#This Row],[Pin Name]],tblHPS_EMAC,2,FALSE),MSG!$B$10),MSG!$J$70),MSG!$J$12),MSG!$J$11),MSG!$J$10)</f>
        <v>HPS is not available in the selected device</v>
      </c>
    </row>
    <row r="323" spans="1:5" ht="14" hidden="1" outlineLevel="2" thickBot="1">
      <c r="A323" s="81" t="s">
        <v>1299</v>
      </c>
      <c r="B323" s="173" t="str">
        <f>IF(var_OPN&lt;&gt;"",IF(varHasHPS="Yes",IF($C$26="Yes",IF($B$217="Yes",IFERROR(VLOOKUP(tblCHKHPSEMAC[[#This Row],[Pin Name]],tblHPS_EMAC,4,FALSE),MSG!$B$10),MSG!$J$70),MSG!$J$12),MSG!$J$11),MSG!$J$10)</f>
        <v>HPS is not available in the selected device</v>
      </c>
      <c r="C323" s="90"/>
      <c r="D323" s="90"/>
      <c r="E323" s="173" t="str">
        <f>IF(var_OPN&lt;&gt;"",IF(varHasHPS="Yes",IF($C$26="Yes",IF($B$217="Yes",IFERROR(VLOOKUP(tblCHKHPSEMAC[[#This Row],[Pin Name]],tblHPS_EMAC,2,FALSE),MSG!$B$10),MSG!$J$70),MSG!$J$12),MSG!$J$11),MSG!$J$10)</f>
        <v>HPS is not available in the selected device</v>
      </c>
    </row>
    <row r="324" spans="1:5" ht="14" hidden="1" outlineLevel="2" thickBot="1">
      <c r="A324" s="81" t="s">
        <v>576</v>
      </c>
      <c r="B324" s="173" t="str">
        <f>IF(var_OPN&lt;&gt;"",IF(varHasHPS="Yes",IF($C$26="Yes",IF($B$217="Yes",IFERROR(VLOOKUP(tblCHKHPSEMAC[[#This Row],[Pin Name]],tblHPS_EMAC,4,FALSE),MSG!$B$10),MSG!$J$70),MSG!$J$12),MSG!$J$11),MSG!$J$10)</f>
        <v>HPS is not available in the selected device</v>
      </c>
      <c r="C324" s="90"/>
      <c r="D324" s="90"/>
      <c r="E324" s="173" t="str">
        <f>IF(var_OPN&lt;&gt;"",IF(varHasHPS="Yes",IF($C$26="Yes",IF($B$217="Yes",IFERROR(VLOOKUP(tblCHKHPSEMAC[[#This Row],[Pin Name]],tblHPS_EMAC,2,FALSE),MSG!$B$10),MSG!$J$70),MSG!$J$12),MSG!$J$11),MSG!$J$10)</f>
        <v>HPS is not available in the selected device</v>
      </c>
    </row>
    <row r="325" spans="1:5" ht="14" hidden="1" outlineLevel="2" thickBot="1">
      <c r="A325" s="81" t="s">
        <v>578</v>
      </c>
      <c r="B325" s="173" t="str">
        <f>IF(var_OPN&lt;&gt;"",IF(varHasHPS="Yes",IF($C$26="Yes",IF($B$217="Yes",IFERROR(VLOOKUP(tblCHKHPSEMAC[[#This Row],[Pin Name]],tblHPS_EMAC,4,FALSE),MSG!$B$10),MSG!$J$70),MSG!$J$12),MSG!$J$11),MSG!$J$10)</f>
        <v>HPS is not available in the selected device</v>
      </c>
      <c r="C325" s="90"/>
      <c r="D325" s="90"/>
      <c r="E325" s="173" t="str">
        <f>IF(var_OPN&lt;&gt;"",IF(varHasHPS="Yes",IF($C$26="Yes",IF($B$217="Yes",IFERROR(VLOOKUP(tblCHKHPSEMAC[[#This Row],[Pin Name]],tblHPS_EMAC,2,FALSE),MSG!$B$10),MSG!$J$70),MSG!$J$12),MSG!$J$11),MSG!$J$10)</f>
        <v>HPS is not available in the selected device</v>
      </c>
    </row>
    <row r="326" spans="1:5" ht="14" hidden="1" outlineLevel="2" thickBot="1">
      <c r="A326" s="81" t="s">
        <v>1300</v>
      </c>
      <c r="B326" s="173" t="str">
        <f>IF(var_OPN&lt;&gt;"",IF(varHasHPS="Yes",IF($C$26="Yes",IF($B$217="Yes",IFERROR(VLOOKUP(tblCHKHPSEMAC[[#This Row],[Pin Name]],tblHPS_EMAC,4,FALSE),MSG!$B$10),MSG!$J$70),MSG!$J$12),MSG!$J$11),MSG!$J$10)</f>
        <v>HPS is not available in the selected device</v>
      </c>
      <c r="C326" s="90"/>
      <c r="D326" s="90"/>
      <c r="E326" s="173" t="str">
        <f>IF(var_OPN&lt;&gt;"",IF(varHasHPS="Yes",IF($C$26="Yes",IF($B$217="Yes",IFERROR(VLOOKUP(tblCHKHPSEMAC[[#This Row],[Pin Name]],tblHPS_EMAC,2,FALSE),MSG!$B$10),MSG!$J$70),MSG!$J$12),MSG!$J$11),MSG!$J$10)</f>
        <v>HPS is not available in the selected device</v>
      </c>
    </row>
    <row r="327" spans="1:5" ht="14" hidden="1" outlineLevel="2" thickBot="1">
      <c r="A327" s="81" t="s">
        <v>1301</v>
      </c>
      <c r="B327" s="173" t="str">
        <f>IF(var_OPN&lt;&gt;"",IF(varHasHPS="Yes",IF($C$26="Yes",IF($B$217="Yes",IFERROR(VLOOKUP(tblCHKHPSEMAC[[#This Row],[Pin Name]],tblHPS_EMAC,4,FALSE),MSG!$B$10),MSG!$J$70),MSG!$J$12),MSG!$J$11),MSG!$J$10)</f>
        <v>HPS is not available in the selected device</v>
      </c>
      <c r="C327" s="90"/>
      <c r="D327" s="90"/>
      <c r="E327" s="173" t="str">
        <f>IF(var_OPN&lt;&gt;"",IF(varHasHPS="Yes",IF($C$26="Yes",IF($B$217="Yes",IFERROR(VLOOKUP(tblCHKHPSEMAC[[#This Row],[Pin Name]],tblHPS_EMAC,2,FALSE),MSG!$B$10),MSG!$J$70),MSG!$J$12),MSG!$J$11),MSG!$J$10)</f>
        <v>HPS is not available in the selected device</v>
      </c>
    </row>
    <row r="328" spans="1:5" ht="14" hidden="1" outlineLevel="2" thickBot="1">
      <c r="A328" s="81" t="s">
        <v>1302</v>
      </c>
      <c r="B328" s="173" t="str">
        <f>IF(var_OPN&lt;&gt;"",IF(varHasHPS="Yes",IF($C$26="Yes",IF($B$217="Yes",IFERROR(VLOOKUP(tblCHKHPSEMAC[[#This Row],[Pin Name]],tblHPS_EMAC,4,FALSE),MSG!$B$10),MSG!$J$70),MSG!$J$12),MSG!$J$11),MSG!$J$10)</f>
        <v>HPS is not available in the selected device</v>
      </c>
      <c r="C328" s="90"/>
      <c r="D328" s="90"/>
      <c r="E328" s="173" t="str">
        <f>IF(var_OPN&lt;&gt;"",IF(varHasHPS="Yes",IF($C$26="Yes",IF($B$217="Yes",IFERROR(VLOOKUP(tblCHKHPSEMAC[[#This Row],[Pin Name]],tblHPS_EMAC,2,FALSE),MSG!$B$10),MSG!$J$70),MSG!$J$12),MSG!$J$11),MSG!$J$10)</f>
        <v>HPS is not available in the selected device</v>
      </c>
    </row>
    <row r="329" spans="1:5" ht="14" hidden="1" outlineLevel="2" thickBot="1">
      <c r="A329" s="81" t="s">
        <v>1303</v>
      </c>
      <c r="B329" s="173" t="str">
        <f>IF(var_OPN&lt;&gt;"",IF(varHasHPS="Yes",IF($C$26="Yes",IF($B$217="Yes",IFERROR(VLOOKUP(tblCHKHPSEMAC[[#This Row],[Pin Name]],tblHPS_EMAC,4,FALSE),MSG!$B$10),MSG!$J$70),MSG!$J$12),MSG!$J$11),MSG!$J$10)</f>
        <v>HPS is not available in the selected device</v>
      </c>
      <c r="C329" s="90"/>
      <c r="D329" s="90"/>
      <c r="E329" s="173" t="str">
        <f>IF(var_OPN&lt;&gt;"",IF(varHasHPS="Yes",IF($C$26="Yes",IF($B$217="Yes",IFERROR(VLOOKUP(tblCHKHPSEMAC[[#This Row],[Pin Name]],tblHPS_EMAC,2,FALSE),MSG!$B$10),MSG!$J$70),MSG!$J$12),MSG!$J$11),MSG!$J$10)</f>
        <v>HPS is not available in the selected device</v>
      </c>
    </row>
    <row r="330" spans="1:5" ht="14" hidden="1" outlineLevel="2" thickBot="1">
      <c r="A330" s="81" t="s">
        <v>1304</v>
      </c>
      <c r="B330" s="173" t="str">
        <f>IF(var_OPN&lt;&gt;"",IF(varHasHPS="Yes",IF($C$26="Yes",IF($B$217="Yes",IFERROR(VLOOKUP(tblCHKHPSEMAC[[#This Row],[Pin Name]],tblHPS_EMAC,4,FALSE),MSG!$B$10),MSG!$J$70),MSG!$J$12),MSG!$J$11),MSG!$J$10)</f>
        <v>HPS is not available in the selected device</v>
      </c>
      <c r="C330" s="90"/>
      <c r="D330" s="90"/>
      <c r="E330" s="173" t="str">
        <f>IF(var_OPN&lt;&gt;"",IF(varHasHPS="Yes",IF($C$26="Yes",IF($B$217="Yes",IFERROR(VLOOKUP(tblCHKHPSEMAC[[#This Row],[Pin Name]],tblHPS_EMAC,2,FALSE),MSG!$B$10),MSG!$J$70),MSG!$J$12),MSG!$J$11),MSG!$J$10)</f>
        <v>HPS is not available in the selected device</v>
      </c>
    </row>
    <row r="331" spans="1:5" ht="14" hidden="1" outlineLevel="2" thickBot="1">
      <c r="A331" s="81" t="s">
        <v>1305</v>
      </c>
      <c r="B331" s="173" t="str">
        <f>IF(var_OPN&lt;&gt;"",IF(varHasHPS="Yes",IF($C$26="Yes",IF($B$217="Yes",IFERROR(VLOOKUP(tblCHKHPSEMAC[[#This Row],[Pin Name]],tblHPS_EMAC,4,FALSE),MSG!$B$10),MSG!$J$70),MSG!$J$12),MSG!$J$11),MSG!$J$10)</f>
        <v>HPS is not available in the selected device</v>
      </c>
      <c r="C331" s="90"/>
      <c r="D331" s="90"/>
      <c r="E331" s="173" t="str">
        <f>IF(var_OPN&lt;&gt;"",IF(varHasHPS="Yes",IF($C$26="Yes",IF($B$217="Yes",IFERROR(VLOOKUP(tblCHKHPSEMAC[[#This Row],[Pin Name]],tblHPS_EMAC,2,FALSE),MSG!$B$10),MSG!$J$70),MSG!$J$12),MSG!$J$11),MSG!$J$10)</f>
        <v>HPS is not available in the selected device</v>
      </c>
    </row>
    <row r="332" spans="1:5" ht="14" hidden="1" outlineLevel="2" thickBot="1">
      <c r="A332" s="81" t="s">
        <v>1306</v>
      </c>
      <c r="B332" s="173" t="str">
        <f>IF(var_OPN&lt;&gt;"",IF(varHasHPS="Yes",IF($C$26="Yes",IF($B$217="Yes",IFERROR(VLOOKUP(tblCHKHPSEMAC[[#This Row],[Pin Name]],tblHPS_EMAC,4,FALSE),MSG!$B$10),MSG!$J$70),MSG!$J$12),MSG!$J$11),MSG!$J$10)</f>
        <v>HPS is not available in the selected device</v>
      </c>
      <c r="C332" s="90"/>
      <c r="D332" s="90"/>
      <c r="E332" s="173" t="str">
        <f>IF(var_OPN&lt;&gt;"",IF(varHasHPS="Yes",IF($C$26="Yes",IF($B$217="Yes",IFERROR(VLOOKUP(tblCHKHPSEMAC[[#This Row],[Pin Name]],tblHPS_EMAC,2,FALSE),MSG!$B$10),MSG!$J$70),MSG!$J$12),MSG!$J$11),MSG!$J$10)</f>
        <v>HPS is not available in the selected device</v>
      </c>
    </row>
    <row r="333" spans="1:5" ht="14" hidden="1" outlineLevel="2" thickBot="1">
      <c r="A333" s="81" t="s">
        <v>1307</v>
      </c>
      <c r="B333" s="173" t="str">
        <f>IF(var_OPN&lt;&gt;"",IF(varHasHPS="Yes",IF($C$26="Yes",IF($B$217="Yes",IFERROR(VLOOKUP(tblCHKHPSEMAC[[#This Row],[Pin Name]],tblHPS_EMAC,4,FALSE),MSG!$B$10),MSG!$J$70),MSG!$J$12),MSG!$J$11),MSG!$J$10)</f>
        <v>HPS is not available in the selected device</v>
      </c>
      <c r="C333" s="90"/>
      <c r="D333" s="90"/>
      <c r="E333" s="173" t="str">
        <f>IF(var_OPN&lt;&gt;"",IF(varHasHPS="Yes",IF($C$26="Yes",IF($B$217="Yes",IFERROR(VLOOKUP(tblCHKHPSEMAC[[#This Row],[Pin Name]],tblHPS_EMAC,2,FALSE),MSG!$B$10),MSG!$J$70),MSG!$J$12),MSG!$J$11),MSG!$J$10)</f>
        <v>HPS is not available in the selected device</v>
      </c>
    </row>
    <row r="334" spans="1:5" ht="14" hidden="1" outlineLevel="2" thickBot="1">
      <c r="A334" s="81" t="s">
        <v>1308</v>
      </c>
      <c r="B334" s="173" t="str">
        <f>IF(var_OPN&lt;&gt;"",IF(varHasHPS="Yes",IF($C$26="Yes",IF($B$217="Yes",IFERROR(VLOOKUP(tblCHKHPSEMAC[[#This Row],[Pin Name]],tblHPS_EMAC,4,FALSE),MSG!$B$10),MSG!$J$70),MSG!$J$12),MSG!$J$11),MSG!$J$10)</f>
        <v>HPS is not available in the selected device</v>
      </c>
      <c r="C334" s="90"/>
      <c r="D334" s="90"/>
      <c r="E334" s="173" t="str">
        <f>IF(var_OPN&lt;&gt;"",IF(varHasHPS="Yes",IF($C$26="Yes",IF($B$217="Yes",IFERROR(VLOOKUP(tblCHKHPSEMAC[[#This Row],[Pin Name]],tblHPS_EMAC,2,FALSE),MSG!$B$10),MSG!$J$70),MSG!$J$12),MSG!$J$11),MSG!$J$10)</f>
        <v>HPS is not available in the selected device</v>
      </c>
    </row>
    <row r="335" spans="1:5" ht="14" hidden="1" outlineLevel="2" thickBot="1">
      <c r="A335" s="81" t="s">
        <v>1309</v>
      </c>
      <c r="B335" s="173" t="str">
        <f>IF(var_OPN&lt;&gt;"",IF(varHasHPS="Yes",IF($C$26="Yes",IF($B$217="Yes",IFERROR(VLOOKUP(tblCHKHPSEMAC[[#This Row],[Pin Name]],tblHPS_EMAC,4,FALSE),MSG!$B$10),MSG!$J$70),MSG!$J$12),MSG!$J$11),MSG!$J$10)</f>
        <v>HPS is not available in the selected device</v>
      </c>
      <c r="C335" s="90"/>
      <c r="D335" s="90"/>
      <c r="E335" s="173" t="str">
        <f>IF(var_OPN&lt;&gt;"",IF(varHasHPS="Yes",IF($C$26="Yes",IF($B$217="Yes",IFERROR(VLOOKUP(tblCHKHPSEMAC[[#This Row],[Pin Name]],tblHPS_EMAC,2,FALSE),MSG!$B$10),MSG!$J$70),MSG!$J$12),MSG!$J$11),MSG!$J$10)</f>
        <v>HPS is not available in the selected device</v>
      </c>
    </row>
    <row r="336" spans="1:5" ht="14" hidden="1" outlineLevel="2" thickBot="1">
      <c r="A336" s="81" t="s">
        <v>1310</v>
      </c>
      <c r="B336" s="173" t="str">
        <f>IF(var_OPN&lt;&gt;"",IF(varHasHPS="Yes",IF($C$26="Yes",IF($B$217="Yes",IFERROR(VLOOKUP(tblCHKHPSEMAC[[#This Row],[Pin Name]],tblHPS_EMAC,4,FALSE),MSG!$B$10),MSG!$J$70),MSG!$J$12),MSG!$J$11),MSG!$J$10)</f>
        <v>HPS is not available in the selected device</v>
      </c>
      <c r="C336" s="90"/>
      <c r="D336" s="90"/>
      <c r="E336" s="173" t="str">
        <f>IF(var_OPN&lt;&gt;"",IF(varHasHPS="Yes",IF($C$26="Yes",IF($B$217="Yes",IFERROR(VLOOKUP(tblCHKHPSEMAC[[#This Row],[Pin Name]],tblHPS_EMAC,2,FALSE),MSG!$B$10),MSG!$J$70),MSG!$J$12),MSG!$J$11),MSG!$J$10)</f>
        <v>HPS is not available in the selected device</v>
      </c>
    </row>
    <row r="337" spans="1:9" ht="14" hidden="1" outlineLevel="2" thickBot="1">
      <c r="A337" s="81" t="s">
        <v>1311</v>
      </c>
      <c r="B337" s="173" t="str">
        <f>IF(var_OPN&lt;&gt;"",IF(varHasHPS="Yes",IF($C$26="Yes",IF($B$217="Yes",IFERROR(VLOOKUP(tblCHKHPSEMAC[[#This Row],[Pin Name]],tblHPS_EMAC,4,FALSE),MSG!$B$10),MSG!$J$70),MSG!$J$12),MSG!$J$11),MSG!$J$10)</f>
        <v>HPS is not available in the selected device</v>
      </c>
      <c r="C337" s="90"/>
      <c r="D337" s="90"/>
      <c r="E337" s="173" t="str">
        <f>IF(var_OPN&lt;&gt;"",IF(varHasHPS="Yes",IF($C$26="Yes",IF($B$217="Yes",IFERROR(VLOOKUP(tblCHKHPSEMAC[[#This Row],[Pin Name]],tblHPS_EMAC,2,FALSE),MSG!$B$10),MSG!$J$70),MSG!$J$12),MSG!$J$11),MSG!$J$10)</f>
        <v>HPS is not available in the selected device</v>
      </c>
    </row>
    <row r="338" spans="1:9" ht="14" hidden="1" outlineLevel="2" thickBot="1">
      <c r="A338" s="81" t="s">
        <v>580</v>
      </c>
      <c r="B338" s="173" t="str">
        <f>IF(var_OPN&lt;&gt;"",IF(varHasHPS="Yes",IF($C$26="Yes",IF($B$217="Yes",IFERROR(VLOOKUP(tblCHKHPSEMAC[[#This Row],[Pin Name]],tblHPS_EMAC,4,FALSE),MSG!$B$10),MSG!$J$70),MSG!$J$12),MSG!$J$11),MSG!$J$10)</f>
        <v>HPS is not available in the selected device</v>
      </c>
      <c r="C338" s="90"/>
      <c r="D338" s="90"/>
      <c r="E338" s="173" t="str">
        <f>IF(var_OPN&lt;&gt;"",IF(varHasHPS="Yes",IF($C$26="Yes",IF($B$217="Yes",IFERROR(VLOOKUP(tblCHKHPSEMAC[[#This Row],[Pin Name]],tblHPS_EMAC,2,FALSE),MSG!$B$10),MSG!$J$70),MSG!$J$12),MSG!$J$11),MSG!$J$10)</f>
        <v>HPS is not available in the selected device</v>
      </c>
    </row>
    <row r="339" spans="1:9" ht="14" hidden="1" outlineLevel="2" thickBot="1">
      <c r="A339" s="81" t="s">
        <v>581</v>
      </c>
      <c r="B339" s="173" t="str">
        <f>IF(var_OPN&lt;&gt;"",IF(varHasHPS="Yes",IF($C$26="Yes",IF($B$217="Yes",IFERROR(VLOOKUP(tblCHKHPSEMAC[[#This Row],[Pin Name]],tblHPS_EMAC,4,FALSE),MSG!$B$10),MSG!$J$70),MSG!$J$12),MSG!$J$11),MSG!$J$10)</f>
        <v>HPS is not available in the selected device</v>
      </c>
      <c r="C339" s="90"/>
      <c r="D339" s="90"/>
      <c r="E339" s="173" t="str">
        <f>IF(var_OPN&lt;&gt;"",IF(varHasHPS="Yes",IF($C$26="Yes",IF($B$217="Yes",IFERROR(VLOOKUP(tblCHKHPSEMAC[[#This Row],[Pin Name]],tblHPS_EMAC,2,FALSE),MSG!$B$10),MSG!$J$70),MSG!$J$12),MSG!$J$11),MSG!$J$10)</f>
        <v>HPS is not available in the selected device</v>
      </c>
    </row>
    <row r="340" spans="1:9" ht="14" hidden="1" outlineLevel="2" thickBot="1">
      <c r="A340" s="81" t="s">
        <v>1312</v>
      </c>
      <c r="B340" s="173" t="str">
        <f>IF(var_OPN&lt;&gt;"",IF(varHasHPS="Yes",IF($C$26="Yes",IF($B$217="Yes",IFERROR(VLOOKUP(tblCHKHPSEMAC[[#This Row],[Pin Name]],tblHPS_EMAC,4,FALSE),MSG!$B$10),MSG!$J$70),MSG!$J$12),MSG!$J$11),MSG!$J$10)</f>
        <v>HPS is not available in the selected device</v>
      </c>
      <c r="C340" s="90"/>
      <c r="D340" s="90"/>
      <c r="E340" s="173" t="str">
        <f>IF(var_OPN&lt;&gt;"",IF(varHasHPS="Yes",IF($C$26="Yes",IF($B$217="Yes",IFERROR(VLOOKUP(tblCHKHPSEMAC[[#This Row],[Pin Name]],tblHPS_EMAC,2,FALSE),MSG!$B$10),MSG!$J$70),MSG!$J$12),MSG!$J$11),MSG!$J$10)</f>
        <v>HPS is not available in the selected device</v>
      </c>
    </row>
    <row r="341" spans="1:9" ht="14" hidden="1" outlineLevel="2" thickBot="1">
      <c r="A341" s="81" t="s">
        <v>1313</v>
      </c>
      <c r="B341" s="173" t="str">
        <f>IF(var_OPN&lt;&gt;"",IF(varHasHPS="Yes",IF($C$26="Yes",IF($B$217="Yes",IFERROR(VLOOKUP(tblCHKHPSEMAC[[#This Row],[Pin Name]],tblHPS_EMAC,4,FALSE),MSG!$B$10),MSG!$J$70),MSG!$J$12),MSG!$J$11),MSG!$J$10)</f>
        <v>HPS is not available in the selected device</v>
      </c>
      <c r="C341" s="90"/>
      <c r="D341" s="90"/>
      <c r="E341" s="173" t="str">
        <f>IF(var_OPN&lt;&gt;"",IF(varHasHPS="Yes",IF($C$26="Yes",IF($B$217="Yes",IFERROR(VLOOKUP(tblCHKHPSEMAC[[#This Row],[Pin Name]],tblHPS_EMAC,2,FALSE),MSG!$B$10),MSG!$J$70),MSG!$J$12),MSG!$J$11),MSG!$J$10)</f>
        <v>HPS is not available in the selected device</v>
      </c>
    </row>
    <row r="342" spans="1:9" ht="14" hidden="1" outlineLevel="2" thickBot="1">
      <c r="A342" s="81" t="s">
        <v>1314</v>
      </c>
      <c r="B342" s="173" t="str">
        <f>IF(var_OPN&lt;&gt;"",IF(varHasHPS="Yes",IF($C$26="Yes",IF($B$217="Yes",IFERROR(VLOOKUP(tblCHKHPSEMAC[[#This Row],[Pin Name]],tblHPS_EMAC,4,FALSE),MSG!$B$10),MSG!$J$70),MSG!$J$12),MSG!$J$11),MSG!$J$10)</f>
        <v>HPS is not available in the selected device</v>
      </c>
      <c r="C342" s="90"/>
      <c r="D342" s="90"/>
      <c r="E342" s="173" t="str">
        <f>IF(var_OPN&lt;&gt;"",IF(varHasHPS="Yes",IF($C$26="Yes",IF($B$217="Yes",IFERROR(VLOOKUP(tblCHKHPSEMAC[[#This Row],[Pin Name]],tblHPS_EMAC,2,FALSE),MSG!$B$10),MSG!$J$70),MSG!$J$12),MSG!$J$11),MSG!$J$10)</f>
        <v>HPS is not available in the selected device</v>
      </c>
    </row>
    <row r="343" spans="1:9" ht="14" hidden="1" outlineLevel="2" thickBot="1">
      <c r="A343" s="81" t="s">
        <v>1315</v>
      </c>
      <c r="B343" s="173" t="str">
        <f>IF(var_OPN&lt;&gt;"",IF(varHasHPS="Yes",IF($C$26="Yes",IF($B$217="Yes",IFERROR(VLOOKUP(tblCHKHPSEMAC[[#This Row],[Pin Name]],tblHPS_EMAC,4,FALSE),MSG!$B$10),MSG!$J$70),MSG!$J$12),MSG!$J$11),MSG!$J$10)</f>
        <v>HPS is not available in the selected device</v>
      </c>
      <c r="C343" s="90"/>
      <c r="D343" s="90"/>
      <c r="E343" s="173" t="str">
        <f>IF(var_OPN&lt;&gt;"",IF(varHasHPS="Yes",IF($C$26="Yes",IF($B$217="Yes",IFERROR(VLOOKUP(tblCHKHPSEMAC[[#This Row],[Pin Name]],tblHPS_EMAC,2,FALSE),MSG!$B$10),MSG!$J$70),MSG!$J$12),MSG!$J$11),MSG!$J$10)</f>
        <v>HPS is not available in the selected device</v>
      </c>
    </row>
    <row r="344" spans="1:9" ht="14" hidden="1" outlineLevel="2" thickBot="1">
      <c r="A344" s="81" t="s">
        <v>1316</v>
      </c>
      <c r="B344" s="173" t="str">
        <f>IF(var_OPN&lt;&gt;"",IF(varHasHPS="Yes",IF($C$26="Yes",IF($B$217="Yes",IFERROR(VLOOKUP(tblCHKHPSEMAC[[#This Row],[Pin Name]],tblHPS_EMAC,4,FALSE),MSG!$B$10),MSG!$J$70),MSG!$J$12),MSG!$J$11),MSG!$J$10)</f>
        <v>HPS is not available in the selected device</v>
      </c>
      <c r="C344" s="90"/>
      <c r="D344" s="90"/>
      <c r="E344" s="173" t="str">
        <f>IF(var_OPN&lt;&gt;"",IF(varHasHPS="Yes",IF($C$26="Yes",IF($B$217="Yes",IFERROR(VLOOKUP(tblCHKHPSEMAC[[#This Row],[Pin Name]],tblHPS_EMAC,2,FALSE),MSG!$B$10),MSG!$J$70),MSG!$J$12),MSG!$J$11),MSG!$J$10)</f>
        <v>HPS is not available in the selected device</v>
      </c>
    </row>
    <row r="345" spans="1:9" ht="14" hidden="1" outlineLevel="2" thickBot="1">
      <c r="A345" s="81" t="s">
        <v>1317</v>
      </c>
      <c r="B345" s="173" t="str">
        <f>IF(var_OPN&lt;&gt;"",IF(varHasHPS="Yes",IF($C$26="Yes",IF($B$217="Yes",IFERROR(VLOOKUP(tblCHKHPSEMAC[[#This Row],[Pin Name]],tblHPS_EMAC,4,FALSE),MSG!$B$10),MSG!$J$70),MSG!$J$12),MSG!$J$11),MSG!$J$10)</f>
        <v>HPS is not available in the selected device</v>
      </c>
      <c r="C345" s="90"/>
      <c r="D345" s="90"/>
      <c r="E345" s="173" t="str">
        <f>IF(var_OPN&lt;&gt;"",IF(varHasHPS="Yes",IF($C$26="Yes",IF($B$217="Yes",IFERROR(VLOOKUP(tblCHKHPSEMAC[[#This Row],[Pin Name]],tblHPS_EMAC,2,FALSE),MSG!$B$10),MSG!$J$70),MSG!$J$12),MSG!$J$11),MSG!$J$10)</f>
        <v>HPS is not available in the selected device</v>
      </c>
    </row>
    <row r="346" spans="1:9" ht="14" hidden="1" outlineLevel="2" thickBot="1">
      <c r="A346" s="81" t="s">
        <v>1318</v>
      </c>
      <c r="B346" s="173" t="str">
        <f>IF(var_OPN&lt;&gt;"",IF(varHasHPS="Yes",IF($C$26="Yes",IF($B$217="Yes",IFERROR(VLOOKUP(tblCHKHPSEMAC[[#This Row],[Pin Name]],tblHPS_EMAC,4,FALSE),MSG!$B$10),MSG!$J$70),MSG!$J$12),MSG!$J$11),MSG!$J$10)</f>
        <v>HPS is not available in the selected device</v>
      </c>
      <c r="C346" s="90"/>
      <c r="D346" s="90"/>
      <c r="E346" s="173" t="str">
        <f>IF(var_OPN&lt;&gt;"",IF(varHasHPS="Yes",IF($C$26="Yes",IF($B$217="Yes",IFERROR(VLOOKUP(tblCHKHPSEMAC[[#This Row],[Pin Name]],tblHPS_EMAC,2,FALSE),MSG!$B$10),MSG!$J$70),MSG!$J$12),MSG!$J$11),MSG!$J$10)</f>
        <v>HPS is not available in the selected device</v>
      </c>
      <c r="F346" s="122"/>
      <c r="G346" s="122"/>
      <c r="H346" s="122"/>
      <c r="I346" s="122"/>
    </row>
    <row r="347" spans="1:9" ht="14" hidden="1" outlineLevel="2" thickBot="1">
      <c r="A347" s="81" t="s">
        <v>1319</v>
      </c>
      <c r="B347" s="173" t="str">
        <f>IF(var_OPN&lt;&gt;"",IF(varHasHPS="Yes",IF($C$26="Yes",IF($B$217="Yes",IFERROR(VLOOKUP(tblCHKHPSEMAC[[#This Row],[Pin Name]],tblHPS_EMAC,4,FALSE),MSG!$B$10),MSG!$J$70),MSG!$J$12),MSG!$J$11),MSG!$J$10)</f>
        <v>HPS is not available in the selected device</v>
      </c>
      <c r="C347" s="90"/>
      <c r="D347" s="90"/>
      <c r="E347" s="173" t="str">
        <f>IF(var_OPN&lt;&gt;"",IF(varHasHPS="Yes",IF($C$26="Yes",IF($B$217="Yes",IFERROR(VLOOKUP(tblCHKHPSEMAC[[#This Row],[Pin Name]],tblHPS_EMAC,2,FALSE),MSG!$B$10),MSG!$J$70),MSG!$J$12),MSG!$J$11),MSG!$J$10)</f>
        <v>HPS is not available in the selected device</v>
      </c>
      <c r="F347" s="122"/>
      <c r="G347" s="122"/>
      <c r="H347" s="122"/>
      <c r="I347" s="122"/>
    </row>
    <row r="348" spans="1:9" ht="14" hidden="1" outlineLevel="2" thickBot="1">
      <c r="A348" s="81" t="s">
        <v>1320</v>
      </c>
      <c r="B348" s="173" t="str">
        <f>IF(var_OPN&lt;&gt;"",IF(varHasHPS="Yes",IF($C$26="Yes",IF($B$217="Yes",IFERROR(VLOOKUP(tblCHKHPSEMAC[[#This Row],[Pin Name]],tblHPS_EMAC,4,FALSE),MSG!$B$10),MSG!$J$70),MSG!$J$12),MSG!$J$11),MSG!$J$10)</f>
        <v>HPS is not available in the selected device</v>
      </c>
      <c r="C348" s="90"/>
      <c r="D348" s="90"/>
      <c r="E348" s="173" t="str">
        <f>IF(var_OPN&lt;&gt;"",IF(varHasHPS="Yes",IF($C$26="Yes",IF($B$217="Yes",IFERROR(VLOOKUP(tblCHKHPSEMAC[[#This Row],[Pin Name]],tblHPS_EMAC,2,FALSE),MSG!$B$10),MSG!$J$70),MSG!$J$12),MSG!$J$11),MSG!$J$10)</f>
        <v>HPS is not available in the selected device</v>
      </c>
      <c r="F348" s="122"/>
      <c r="G348" s="122"/>
      <c r="H348" s="122"/>
      <c r="I348" s="122"/>
    </row>
    <row r="349" spans="1:9" ht="14" hidden="1" outlineLevel="2" thickBot="1">
      <c r="A349" s="81" t="s">
        <v>1321</v>
      </c>
      <c r="B349" s="173" t="str">
        <f>IF(var_OPN&lt;&gt;"",IF(varHasHPS="Yes",IF($C$26="Yes",IF($B$217="Yes",IFERROR(VLOOKUP(tblCHKHPSEMAC[[#This Row],[Pin Name]],tblHPS_EMAC,4,FALSE),MSG!$B$10),MSG!$J$70),MSG!$J$12),MSG!$J$11),MSG!$J$10)</f>
        <v>HPS is not available in the selected device</v>
      </c>
      <c r="C349" s="90"/>
      <c r="D349" s="90"/>
      <c r="E349" s="173" t="str">
        <f>IF(var_OPN&lt;&gt;"",IF(varHasHPS="Yes",IF($C$26="Yes",IF($B$217="Yes",IFERROR(VLOOKUP(tblCHKHPSEMAC[[#This Row],[Pin Name]],tblHPS_EMAC,2,FALSE),MSG!$B$10),MSG!$J$70),MSG!$J$12),MSG!$J$11),MSG!$J$10)</f>
        <v>HPS is not available in the selected device</v>
      </c>
      <c r="F349" s="122"/>
      <c r="G349" s="122"/>
      <c r="H349" s="122"/>
      <c r="I349" s="122"/>
    </row>
    <row r="350" spans="1:9" ht="14" hidden="1" outlineLevel="2" thickBot="1">
      <c r="A350" s="81" t="s">
        <v>1322</v>
      </c>
      <c r="B350" s="173" t="str">
        <f>IF(var_OPN&lt;&gt;"",IF(varHasHPS="Yes",IF($C$26="Yes",IF($B$217="Yes",IFERROR(VLOOKUP(tblCHKHPSEMAC[[#This Row],[Pin Name]],tblHPS_EMAC,4,FALSE),MSG!$B$10),MSG!$J$70),MSG!$J$12),MSG!$J$11),MSG!$J$10)</f>
        <v>HPS is not available in the selected device</v>
      </c>
      <c r="C350" s="90"/>
      <c r="D350" s="90"/>
      <c r="E350" s="173" t="str">
        <f>IF(var_OPN&lt;&gt;"",IF(varHasHPS="Yes",IF($C$26="Yes",IF($B$217="Yes",IFERROR(VLOOKUP(tblCHKHPSEMAC[[#This Row],[Pin Name]],tblHPS_EMAC,2,FALSE),MSG!$B$10),MSG!$J$70),MSG!$J$12),MSG!$J$11),MSG!$J$10)</f>
        <v>HPS is not available in the selected device</v>
      </c>
      <c r="F350" s="122"/>
      <c r="G350" s="122"/>
      <c r="H350" s="122"/>
      <c r="I350" s="122"/>
    </row>
    <row r="351" spans="1:9" ht="14" hidden="1" outlineLevel="2" thickBot="1">
      <c r="A351" s="81" t="s">
        <v>1323</v>
      </c>
      <c r="B351" s="173" t="str">
        <f>IF(var_OPN&lt;&gt;"",IF(varHasHPS="Yes",IF($C$26="Yes",IF($B$217="Yes",IFERROR(VLOOKUP(tblCHKHPSEMAC[[#This Row],[Pin Name]],tblHPS_EMAC,4,FALSE),MSG!$B$10),MSG!$J$70),MSG!$J$12),MSG!$J$11),MSG!$J$10)</f>
        <v>HPS is not available in the selected device</v>
      </c>
      <c r="C351" s="90"/>
      <c r="D351" s="90"/>
      <c r="E351" s="173" t="str">
        <f>IF(var_OPN&lt;&gt;"",IF(varHasHPS="Yes",IF($C$26="Yes",IF($B$217="Yes",IFERROR(VLOOKUP(tblCHKHPSEMAC[[#This Row],[Pin Name]],tblHPS_EMAC,2,FALSE),MSG!$B$10),MSG!$J$70),MSG!$J$12),MSG!$J$11),MSG!$J$10)</f>
        <v>HPS is not available in the selected device</v>
      </c>
      <c r="F351" s="122"/>
      <c r="G351" s="122"/>
      <c r="H351" s="122"/>
      <c r="I351" s="122"/>
    </row>
    <row r="352" spans="1:9" ht="14" hidden="1" outlineLevel="2" thickBot="1">
      <c r="A352" s="81" t="s">
        <v>582</v>
      </c>
      <c r="B352" s="173" t="str">
        <f>IF(var_OPN&lt;&gt;"",IF(varHasHPS="Yes",IF($C$26="Yes",IF($B$217="Yes",IFERROR(VLOOKUP(tblCHKHPSEMAC[[#This Row],[Pin Name]],tblHPS_EMAC,4,FALSE),MSG!$B$10),MSG!$J$70),MSG!$J$12),MSG!$J$11),MSG!$J$10)</f>
        <v>HPS is not available in the selected device</v>
      </c>
      <c r="C352" s="90"/>
      <c r="D352" s="90"/>
      <c r="E352" s="173" t="str">
        <f>IF(var_OPN&lt;&gt;"",IF(varHasHPS="Yes",IF($C$26="Yes",IF($B$217="Yes",IFERROR(VLOOKUP(tblCHKHPSEMAC[[#This Row],[Pin Name]],tblHPS_EMAC,2,FALSE),MSG!$B$10),MSG!$J$70),MSG!$J$12),MSG!$J$11),MSG!$J$10)</f>
        <v>HPS is not available in the selected device</v>
      </c>
      <c r="F352" s="122"/>
      <c r="G352" s="122"/>
      <c r="H352" s="122"/>
      <c r="I352" s="122"/>
    </row>
    <row r="353" spans="1:9" ht="14" hidden="1" outlineLevel="2" thickBot="1">
      <c r="A353" s="81" t="s">
        <v>583</v>
      </c>
      <c r="B353" s="173" t="str">
        <f>IF(var_OPN&lt;&gt;"",IF(varHasHPS="Yes",IF($C$26="Yes",IF($B$217="Yes",IFERROR(VLOOKUP(tblCHKHPSEMAC[[#This Row],[Pin Name]],tblHPS_EMAC,4,FALSE),MSG!$B$10),MSG!$J$70),MSG!$J$12),MSG!$J$11),MSG!$J$10)</f>
        <v>HPS is not available in the selected device</v>
      </c>
      <c r="C353" s="90"/>
      <c r="D353" s="90"/>
      <c r="E353" s="173" t="str">
        <f>IF(var_OPN&lt;&gt;"",IF(varHasHPS="Yes",IF($C$26="Yes",IF($B$217="Yes",IFERROR(VLOOKUP(tblCHKHPSEMAC[[#This Row],[Pin Name]],tblHPS_EMAC,2,FALSE),MSG!$B$10),MSG!$J$70),MSG!$J$12),MSG!$J$11),MSG!$J$10)</f>
        <v>HPS is not available in the selected device</v>
      </c>
      <c r="F353" s="122"/>
      <c r="G353" s="122"/>
      <c r="H353" s="122"/>
      <c r="I353" s="122"/>
    </row>
    <row r="354" spans="1:9" ht="14" hidden="1" outlineLevel="2" collapsed="1" thickBot="1">
      <c r="A354" s="81" t="s">
        <v>1366</v>
      </c>
      <c r="B354" s="173" t="str">
        <f>IF(var_OPN&lt;&gt;"",IF(varHasHPS="Yes",IF($C$26="Yes",IF($B$217="Yes",IFERROR(VLOOKUP(tblCHKHPSEMAC[[#This Row],[Pin Name]],tblHPS_EMAC,4,FALSE),MSG!$B$10),MSG!$J$70),MSG!$J$12),MSG!$J$11),MSG!$J$10)</f>
        <v>HPS is not available in the selected device</v>
      </c>
      <c r="C354" s="90"/>
      <c r="D354" s="90"/>
      <c r="E354" s="173" t="str">
        <f>IF(var_OPN&lt;&gt;"",IF(varHasHPS="Yes",IF($C$26="Yes",IF($B$217="Yes",IFERROR(VLOOKUP(tblCHKHPSEMAC[[#This Row],[Pin Name]],tblHPS_EMAC,2,FALSE),MSG!$B$10),MSG!$J$70),MSG!$J$12),MSG!$J$11),MSG!$J$10)</f>
        <v>HPS is not available in the selected device</v>
      </c>
      <c r="F354" s="122"/>
      <c r="G354" s="122"/>
      <c r="H354" s="122"/>
      <c r="I354" s="122"/>
    </row>
    <row r="355" spans="1:9" ht="14" hidden="1" outlineLevel="2" thickBot="1">
      <c r="A355" s="81" t="s">
        <v>1367</v>
      </c>
      <c r="B355" s="173" t="str">
        <f>IF(var_OPN&lt;&gt;"",IF(varHasHPS="Yes",IF($C$26="Yes",IF($B$217="Yes",IFERROR(VLOOKUP(tblCHKHPSEMAC[[#This Row],[Pin Name]],tblHPS_EMAC,4,FALSE),MSG!$B$10),MSG!$J$70),MSG!$J$12),MSG!$J$11),MSG!$J$10)</f>
        <v>HPS is not available in the selected device</v>
      </c>
      <c r="C355" s="90"/>
      <c r="D355" s="90"/>
      <c r="E355" s="173" t="str">
        <f>IF(var_OPN&lt;&gt;"",IF(varHasHPS="Yes",IF($C$26="Yes",IF($B$217="Yes",IFERROR(VLOOKUP(tblCHKHPSEMAC[[#This Row],[Pin Name]],tblHPS_EMAC,2,FALSE),MSG!$B$10),MSG!$J$70),MSG!$J$12),MSG!$J$11),MSG!$J$10)</f>
        <v>HPS is not available in the selected device</v>
      </c>
    </row>
    <row r="356" spans="1:9" ht="14" hidden="1" outlineLevel="2" thickBot="1">
      <c r="A356" s="81" t="s">
        <v>1368</v>
      </c>
      <c r="B356" s="173" t="str">
        <f>IF(var_OPN&lt;&gt;"",IF(varHasHPS="Yes",IF($C$26="Yes",IF($B$217="Yes",IFERROR(VLOOKUP(tblCHKHPSEMAC[[#This Row],[Pin Name]],tblHPS_EMAC,4,FALSE),MSG!$B$10),MSG!$J$70),MSG!$J$12),MSG!$J$11),MSG!$J$10)</f>
        <v>HPS is not available in the selected device</v>
      </c>
      <c r="C356" s="90"/>
      <c r="D356" s="90"/>
      <c r="E356" s="173" t="str">
        <f>IF(var_OPN&lt;&gt;"",IF(varHasHPS="Yes",IF($C$26="Yes",IF($B$217="Yes",IFERROR(VLOOKUP(tblCHKHPSEMAC[[#This Row],[Pin Name]],tblHPS_EMAC,2,FALSE),MSG!$B$10),MSG!$J$70),MSG!$J$12),MSG!$J$11),MSG!$J$10)</f>
        <v>HPS is not available in the selected device</v>
      </c>
    </row>
    <row r="357" spans="1:9" ht="14" hidden="1" outlineLevel="2" thickBot="1">
      <c r="A357" s="81" t="s">
        <v>1369</v>
      </c>
      <c r="B357" s="173" t="str">
        <f>IF(var_OPN&lt;&gt;"",IF(varHasHPS="Yes",IF($C$26="Yes",IF($B$217="Yes",IFERROR(VLOOKUP(tblCHKHPSEMAC[[#This Row],[Pin Name]],tblHPS_EMAC,4,FALSE),MSG!$B$10),MSG!$J$70),MSG!$J$12),MSG!$J$11),MSG!$J$10)</f>
        <v>HPS is not available in the selected device</v>
      </c>
      <c r="C357" s="90"/>
      <c r="D357" s="90"/>
      <c r="E357" s="173" t="str">
        <f>IF(var_OPN&lt;&gt;"",IF(varHasHPS="Yes",IF($C$26="Yes",IF($B$217="Yes",IFERROR(VLOOKUP(tblCHKHPSEMAC[[#This Row],[Pin Name]],tblHPS_EMAC,2,FALSE),MSG!$B$10),MSG!$J$70),MSG!$J$12),MSG!$J$11),MSG!$J$10)</f>
        <v>HPS is not available in the selected device</v>
      </c>
    </row>
    <row r="358" spans="1:9" ht="14" hidden="1" outlineLevel="2" thickBot="1">
      <c r="A358" s="81" t="s">
        <v>1370</v>
      </c>
      <c r="B358" s="173" t="str">
        <f>IF(var_OPN&lt;&gt;"",IF(varHasHPS="Yes",IF($C$26="Yes",IF($B$217="Yes",IFERROR(VLOOKUP(tblCHKHPSEMAC[[#This Row],[Pin Name]],tblHPS_EMAC,4,FALSE),MSG!$B$10),MSG!$J$70),MSG!$J$12),MSG!$J$11),MSG!$J$10)</f>
        <v>HPS is not available in the selected device</v>
      </c>
      <c r="C358" s="90"/>
      <c r="D358" s="90"/>
      <c r="E358" s="173" t="str">
        <f>IF(var_OPN&lt;&gt;"",IF(varHasHPS="Yes",IF($C$26="Yes",IF($B$217="Yes",IFERROR(VLOOKUP(tblCHKHPSEMAC[[#This Row],[Pin Name]],tblHPS_EMAC,2,FALSE),MSG!$B$10),MSG!$J$70),MSG!$J$12),MSG!$J$11),MSG!$J$10)</f>
        <v>HPS is not available in the selected device</v>
      </c>
      <c r="H358" s="124"/>
      <c r="I358" s="124"/>
    </row>
    <row r="359" spans="1:9" ht="14" hidden="1" outlineLevel="2" thickBot="1">
      <c r="A359" s="81" t="s">
        <v>1371</v>
      </c>
      <c r="B359" s="173" t="str">
        <f>IF(var_OPN&lt;&gt;"",IF(varHasHPS="Yes",IF($C$26="Yes",IF($B$217="Yes",IFERROR(VLOOKUP(tblCHKHPSEMAC[[#This Row],[Pin Name]],tblHPS_EMAC,4,FALSE),MSG!$B$10),MSG!$J$70),MSG!$J$12),MSG!$J$11),MSG!$J$10)</f>
        <v>HPS is not available in the selected device</v>
      </c>
      <c r="C359" s="90"/>
      <c r="D359" s="90"/>
      <c r="E359" s="173" t="str">
        <f>IF(var_OPN&lt;&gt;"",IF(varHasHPS="Yes",IF($C$26="Yes",IF($B$217="Yes",IFERROR(VLOOKUP(tblCHKHPSEMAC[[#This Row],[Pin Name]],tblHPS_EMAC,2,FALSE),MSG!$B$10),MSG!$J$70),MSG!$J$12),MSG!$J$11),MSG!$J$10)</f>
        <v>HPS is not available in the selected device</v>
      </c>
      <c r="H359" s="124"/>
      <c r="I359" s="124"/>
    </row>
    <row r="360" spans="1:9" ht="14" hidden="1" outlineLevel="2" thickBot="1">
      <c r="A360" s="81" t="s">
        <v>1376</v>
      </c>
      <c r="B360" s="173" t="str">
        <f>IF(var_OPN&lt;&gt;"",IF(varHasHPS="Yes",IF($C$26="Yes",IF($B$217="Yes",IFERROR(VLOOKUP(tblCHKHPSEMAC[[#This Row],[Pin Name]],tblHPS_EMAC,4,FALSE),MSG!$B$10),MSG!$J$70),MSG!$J$12),MSG!$J$11),MSG!$J$10)</f>
        <v>HPS is not available in the selected device</v>
      </c>
      <c r="C360" s="90"/>
      <c r="D360" s="90"/>
      <c r="E360" s="173" t="str">
        <f>IF(var_OPN&lt;&gt;"",IF(varHasHPS="Yes",IF($C$26="Yes",IF($B$217="Yes",IFERROR(VLOOKUP(tblCHKHPSEMAC[[#This Row],[Pin Name]],tblHPS_EMAC,2,FALSE),MSG!$B$10),MSG!$J$70),MSG!$J$12),MSG!$J$11),MSG!$J$10)</f>
        <v>HPS is not available in the selected device</v>
      </c>
      <c r="H360" s="124"/>
      <c r="I360" s="124"/>
    </row>
    <row r="361" spans="1:9" ht="14" hidden="1" outlineLevel="2" collapsed="1" thickBot="1">
      <c r="A361" s="81" t="s">
        <v>1377</v>
      </c>
      <c r="B361" s="173" t="str">
        <f>IF(var_OPN&lt;&gt;"",IF(varHasHPS="Yes",IF($C$26="Yes",IF($B$217="Yes",IFERROR(VLOOKUP(tblCHKHPSEMAC[[#This Row],[Pin Name]],tblHPS_EMAC,4,FALSE),MSG!$B$10),MSG!$J$70),MSG!$J$12),MSG!$J$11),MSG!$J$10)</f>
        <v>HPS is not available in the selected device</v>
      </c>
      <c r="C361" s="90"/>
      <c r="D361" s="90"/>
      <c r="E361" s="173" t="str">
        <f>IF(var_OPN&lt;&gt;"",IF(varHasHPS="Yes",IF($C$26="Yes",IF($B$217="Yes",IFERROR(VLOOKUP(tblCHKHPSEMAC[[#This Row],[Pin Name]],tblHPS_EMAC,2,FALSE),MSG!$B$10),MSG!$J$70),MSG!$J$12),MSG!$J$11),MSG!$J$10)</f>
        <v>HPS is not available in the selected device</v>
      </c>
      <c r="F361" s="122"/>
      <c r="G361" s="122"/>
    </row>
    <row r="362" spans="1:9" ht="14" hidden="1" outlineLevel="2" thickBot="1">
      <c r="A362" s="81" t="s">
        <v>1374</v>
      </c>
      <c r="B362" s="173" t="str">
        <f>IF(var_OPN&lt;&gt;"",IF(varHasHPS="Yes",IF($C$26="Yes",IF($B$217="Yes",IFERROR(VLOOKUP(tblCHKHPSEMAC[[#This Row],[Pin Name]],tblHPS_EMAC,4,FALSE),MSG!$B$10),MSG!$J$70),MSG!$J$12),MSG!$J$11),MSG!$J$10)</f>
        <v>HPS is not available in the selected device</v>
      </c>
      <c r="C362" s="90"/>
      <c r="D362" s="90"/>
      <c r="E362" s="173" t="str">
        <f>IF(var_OPN&lt;&gt;"",IF(varHasHPS="Yes",IF($C$26="Yes",IF($B$217="Yes",IFERROR(VLOOKUP(tblCHKHPSEMAC[[#This Row],[Pin Name]],tblHPS_EMAC,2,FALSE),MSG!$B$10),MSG!$J$70),MSG!$J$12),MSG!$J$11),MSG!$J$10)</f>
        <v>HPS is not available in the selected device</v>
      </c>
      <c r="F362" s="122"/>
      <c r="G362" s="122"/>
    </row>
    <row r="363" spans="1:9" ht="14" hidden="1" outlineLevel="2" thickBot="1">
      <c r="A363" s="81" t="s">
        <v>1375</v>
      </c>
      <c r="B363" s="173" t="str">
        <f>IF(var_OPN&lt;&gt;"",IF(varHasHPS="Yes",IF($C$26="Yes",IF($B$217="Yes",IFERROR(VLOOKUP(tblCHKHPSEMAC[[#This Row],[Pin Name]],tblHPS_EMAC,4,FALSE),MSG!$B$10),MSG!$J$70),MSG!$J$12),MSG!$J$11),MSG!$J$10)</f>
        <v>HPS is not available in the selected device</v>
      </c>
      <c r="C363" s="90"/>
      <c r="D363" s="90"/>
      <c r="E363" s="173" t="str">
        <f>IF(var_OPN&lt;&gt;"",IF(varHasHPS="Yes",IF($C$26="Yes",IF($B$217="Yes",IFERROR(VLOOKUP(tblCHKHPSEMAC[[#This Row],[Pin Name]],tblHPS_EMAC,2,FALSE),MSG!$B$10),MSG!$J$70),MSG!$J$12),MSG!$J$11),MSG!$J$10)</f>
        <v>HPS is not available in the selected device</v>
      </c>
      <c r="F363" s="122"/>
      <c r="G363" s="122"/>
    </row>
    <row r="364" spans="1:9" ht="14" hidden="1" outlineLevel="2" thickBot="1">
      <c r="A364" s="81" t="s">
        <v>1372</v>
      </c>
      <c r="B364" s="173" t="str">
        <f>IF(var_OPN&lt;&gt;"",IF(varHasHPS="Yes",IF($C$26="Yes",IF($B$217="Yes",IFERROR(VLOOKUP(tblCHKHPSEMAC[[#This Row],[Pin Name]],tblHPS_EMAC,4,FALSE),MSG!$B$10),MSG!$J$70),MSG!$J$12),MSG!$J$11),MSG!$J$10)</f>
        <v>HPS is not available in the selected device</v>
      </c>
      <c r="C364" s="90"/>
      <c r="D364" s="90"/>
      <c r="E364" s="173" t="str">
        <f>IF(var_OPN&lt;&gt;"",IF(varHasHPS="Yes",IF($C$26="Yes",IF($B$217="Yes",IFERROR(VLOOKUP(tblCHKHPSEMAC[[#This Row],[Pin Name]],tblHPS_EMAC,2,FALSE),MSG!$B$10),MSG!$J$70),MSG!$J$12),MSG!$J$11),MSG!$J$10)</f>
        <v>HPS is not available in the selected device</v>
      </c>
      <c r="F364" s="122"/>
      <c r="G364" s="122"/>
    </row>
    <row r="365" spans="1:9" ht="14" hidden="1" outlineLevel="2" collapsed="1" thickBot="1">
      <c r="A365" s="81" t="s">
        <v>1373</v>
      </c>
      <c r="B365" s="173" t="str">
        <f>IF(var_OPN&lt;&gt;"",IF(varHasHPS="Yes",IF($C$26="Yes",IF($B$217="Yes",IFERROR(VLOOKUP(tblCHKHPSEMAC[[#This Row],[Pin Name]],tblHPS_EMAC,4,FALSE),MSG!$B$10),MSG!$J$70),MSG!$J$12),MSG!$J$11),MSG!$J$10)</f>
        <v>HPS is not available in the selected device</v>
      </c>
      <c r="C365" s="90"/>
      <c r="D365" s="90"/>
      <c r="E365" s="173" t="str">
        <f>IF(var_OPN&lt;&gt;"",IF(varHasHPS="Yes",IF($C$26="Yes",IF($B$217="Yes",IFERROR(VLOOKUP(tblCHKHPSEMAC[[#This Row],[Pin Name]],tblHPS_EMAC,2,FALSE),MSG!$B$10),MSG!$J$70),MSG!$J$12),MSG!$J$11),MSG!$J$10)</f>
        <v>HPS is not available in the selected device</v>
      </c>
      <c r="F365" s="122"/>
      <c r="G365" s="122"/>
    </row>
    <row r="366" spans="1:9" ht="14" outlineLevel="1" collapsed="1" thickBot="1">
      <c r="A366" s="119"/>
      <c r="B366" s="99"/>
      <c r="E366" s="99"/>
      <c r="F366" s="122"/>
      <c r="G366" s="122"/>
    </row>
    <row r="367" spans="1:9" ht="14" outlineLevel="1" thickBot="1">
      <c r="A367" s="83" t="s">
        <v>186</v>
      </c>
      <c r="F367" s="122"/>
      <c r="G367" s="122"/>
    </row>
    <row r="368" spans="1:9" ht="14" hidden="1" outlineLevel="2" collapsed="1" thickBot="1">
      <c r="A368" s="83" t="s">
        <v>30</v>
      </c>
      <c r="B368" s="83" t="s">
        <v>31</v>
      </c>
      <c r="C368" s="83" t="s">
        <v>32</v>
      </c>
      <c r="D368" s="83" t="s">
        <v>33</v>
      </c>
      <c r="E368" s="83" t="s">
        <v>34</v>
      </c>
      <c r="F368" s="122"/>
      <c r="G368" s="122"/>
    </row>
    <row r="369" spans="1:5" ht="14" hidden="1" outlineLevel="2" thickBot="1">
      <c r="A369" s="81" t="s">
        <v>1390</v>
      </c>
      <c r="B369" s="173" t="str">
        <f>IF(var_OPN&lt;&gt;"",IF(varHasHPS="Yes",IF($C$26="Yes",IF($B$218="Yes",IFERROR(VLOOKUP(tblCHKHPSI2C[[#This Row],[Pin Name]],tblHPS_I2C,4,FALSE),MSG!$B$10),MSG!$J$80),MSG!$J$12),MSG!$J$11),MSG!$J$10)</f>
        <v>HPS is not available in the selected device</v>
      </c>
      <c r="C369" s="90"/>
      <c r="D369" s="90"/>
      <c r="E369" s="173" t="str">
        <f>IF(var_OPN&lt;&gt;"",IF(varHasHPS="Yes",IF($C$26="Yes",IF($B$218="Yes",IFERROR(VLOOKUP(tblCHKHPSI2C[[#This Row],[Pin Name]],tblHPS_I2C,2,FALSE),MSG!$B$10),MSG!$J$80),MSG!$J$12),MSG!$J$11),MSG!$J$10)</f>
        <v>HPS is not available in the selected device</v>
      </c>
    </row>
    <row r="370" spans="1:5" ht="14" hidden="1" outlineLevel="2" thickBot="1">
      <c r="A370" s="81" t="s">
        <v>1391</v>
      </c>
      <c r="B370" s="173" t="str">
        <f>IF(var_OPN&lt;&gt;"",IF(varHasHPS="Yes",IF($C$26="Yes",IF($B$218="Yes",IFERROR(VLOOKUP(tblCHKHPSI2C[[#This Row],[Pin Name]],tblHPS_I2C,4,FALSE),MSG!$B$10),MSG!$J$80),MSG!$J$12),MSG!$J$11),MSG!$J$10)</f>
        <v>HPS is not available in the selected device</v>
      </c>
      <c r="C370" s="90"/>
      <c r="D370" s="90"/>
      <c r="E370" s="173" t="str">
        <f>IF(var_OPN&lt;&gt;"",IF(varHasHPS="Yes",IF($C$26="Yes",IF($B$218="Yes",IFERROR(VLOOKUP(tblCHKHPSI2C[[#This Row],[Pin Name]],tblHPS_I2C,2,FALSE),MSG!$B$10),MSG!$J$80),MSG!$J$12),MSG!$J$11),MSG!$J$10)</f>
        <v>HPS is not available in the selected device</v>
      </c>
    </row>
    <row r="371" spans="1:5" ht="14" hidden="1" outlineLevel="2" thickBot="1">
      <c r="A371" s="81" t="s">
        <v>1392</v>
      </c>
      <c r="B371" s="173" t="str">
        <f>IF(var_OPN&lt;&gt;"",IF(varHasHPS="Yes",IF($C$26="Yes",IF($B$218="Yes",IFERROR(VLOOKUP(tblCHKHPSI2C[[#This Row],[Pin Name]],tblHPS_I2C,4,FALSE),MSG!$B$10),MSG!$J$80),MSG!$J$12),MSG!$J$11),MSG!$J$10)</f>
        <v>HPS is not available in the selected device</v>
      </c>
      <c r="C371" s="90"/>
      <c r="D371" s="90"/>
      <c r="E371" s="173" t="str">
        <f>IF(var_OPN&lt;&gt;"",IF(varHasHPS="Yes",IF($C$26="Yes",IF($B$218="Yes",IFERROR(VLOOKUP(tblCHKHPSI2C[[#This Row],[Pin Name]],tblHPS_I2C,2,FALSE),MSG!$B$10),MSG!$J$80),MSG!$J$12),MSG!$J$11),MSG!$J$10)</f>
        <v>HPS is not available in the selected device</v>
      </c>
    </row>
    <row r="372" spans="1:5" ht="14" hidden="1" outlineLevel="2" collapsed="1" thickBot="1">
      <c r="A372" s="81" t="s">
        <v>1393</v>
      </c>
      <c r="B372" s="173" t="str">
        <f>IF(var_OPN&lt;&gt;"",IF(varHasHPS="Yes",IF($C$26="Yes",IF($B$218="Yes",IFERROR(VLOOKUP(tblCHKHPSI2C[[#This Row],[Pin Name]],tblHPS_I2C,4,FALSE),MSG!$B$10),MSG!$J$80),MSG!$J$12),MSG!$J$11),MSG!$J$10)</f>
        <v>HPS is not available in the selected device</v>
      </c>
      <c r="C372" s="90"/>
      <c r="D372" s="90"/>
      <c r="E372" s="173" t="str">
        <f>IF(var_OPN&lt;&gt;"",IF(varHasHPS="Yes",IF($C$26="Yes",IF($B$218="Yes",IFERROR(VLOOKUP(tblCHKHPSI2C[[#This Row],[Pin Name]],tblHPS_I2C,2,FALSE),MSG!$B$10),MSG!$J$80),MSG!$J$12),MSG!$J$11),MSG!$J$10)</f>
        <v>HPS is not available in the selected device</v>
      </c>
    </row>
    <row r="373" spans="1:5" ht="14" outlineLevel="1" collapsed="1" thickBot="1"/>
    <row r="374" spans="1:5" ht="14" outlineLevel="1" thickBot="1">
      <c r="A374" s="83" t="s">
        <v>587</v>
      </c>
    </row>
    <row r="375" spans="1:5" ht="14" hidden="1" outlineLevel="2" thickBot="1">
      <c r="A375" s="83" t="s">
        <v>30</v>
      </c>
      <c r="B375" s="83" t="s">
        <v>31</v>
      </c>
      <c r="C375" s="83" t="s">
        <v>32</v>
      </c>
      <c r="D375" s="83" t="s">
        <v>33</v>
      </c>
      <c r="E375" s="83" t="s">
        <v>34</v>
      </c>
    </row>
    <row r="376" spans="1:5" ht="14" hidden="1" outlineLevel="2" thickBot="1">
      <c r="A376" s="81" t="s">
        <v>1398</v>
      </c>
      <c r="B376" s="173" t="str">
        <f>IF(var_OPN&lt;&gt;"",IF(varHasHPS="Yes",IF($C$26="Yes",IF($B$219="Yes",IFERROR(VLOOKUP(tblCHKHPSI3C[[#This Row],[Pin Name]],tblHPS_I3C,4,FALSE),MSG!$B$10),MSG!$L$30),MSG!$J$12),MSG!$J$11),MSG!$J$10)</f>
        <v>HPS is not available in the selected device</v>
      </c>
      <c r="C376" s="90"/>
      <c r="D376" s="90"/>
      <c r="E376" s="173" t="str">
        <f>IF(var_OPN&lt;&gt;"",IF(varHasHPS="Yes",IF($C$26="Yes",IF($B$219="Yes",IFERROR(VLOOKUP(tblCHKHPSI3C[[#This Row],[Pin Name]],tblHPS_I3C,2,FALSE),MSG!$B$10),MSG!$L$30),MSG!$J$12),MSG!$J$11),MSG!$J$10)</f>
        <v>HPS is not available in the selected device</v>
      </c>
    </row>
    <row r="377" spans="1:5" ht="14" hidden="1" outlineLevel="2" thickBot="1">
      <c r="A377" s="81" t="s">
        <v>1399</v>
      </c>
      <c r="B377" s="173" t="str">
        <f>IF(var_OPN&lt;&gt;"",IF(varHasHPS="Yes",IF($C$26="Yes",IF($B$219="Yes",IFERROR(VLOOKUP(tblCHKHPSI3C[[#This Row],[Pin Name]],tblHPS_I3C,4,FALSE),MSG!$B$10),MSG!$L$30),MSG!$J$12),MSG!$J$11),MSG!$J$10)</f>
        <v>HPS is not available in the selected device</v>
      </c>
      <c r="C377" s="90"/>
      <c r="D377" s="90"/>
      <c r="E377" s="173" t="str">
        <f>IF(var_OPN&lt;&gt;"",IF(varHasHPS="Yes",IF($C$26="Yes",IF($B$219="Yes",IFERROR(VLOOKUP(tblCHKHPSI3C[[#This Row],[Pin Name]],tblHPS_I3C,2,FALSE),MSG!$B$10),MSG!$L$30),MSG!$J$12),MSG!$J$11),MSG!$J$10)</f>
        <v>HPS is not available in the selected device</v>
      </c>
    </row>
    <row r="378" spans="1:5" ht="14" hidden="1" outlineLevel="2" thickBot="1">
      <c r="A378" s="81" t="s">
        <v>1400</v>
      </c>
      <c r="B378" s="173" t="str">
        <f>IF(var_OPN&lt;&gt;"",IF(varHasHPS="Yes",IF($C$26="Yes",IF($B$219="Yes",IFERROR(VLOOKUP(tblCHKHPSI3C[[#This Row],[Pin Name]],tblHPS_I3C,4,FALSE),MSG!$B$10),MSG!$L$30),MSG!$J$12),MSG!$J$11),MSG!$J$10)</f>
        <v>HPS is not available in the selected device</v>
      </c>
      <c r="C378" s="90"/>
      <c r="D378" s="90"/>
      <c r="E378" s="173" t="str">
        <f>IF(var_OPN&lt;&gt;"",IF(varHasHPS="Yes",IF($C$26="Yes",IF($B$219="Yes",IFERROR(VLOOKUP(tblCHKHPSI3C[[#This Row],[Pin Name]],tblHPS_I3C,2,FALSE),MSG!$B$10),MSG!$L$30),MSG!$J$12),MSG!$J$11),MSG!$J$10)</f>
        <v>HPS is not available in the selected device</v>
      </c>
    </row>
    <row r="379" spans="1:5" ht="14" hidden="1" outlineLevel="2" thickBot="1">
      <c r="A379" s="81" t="s">
        <v>1401</v>
      </c>
      <c r="B379" s="173" t="str">
        <f>IF(var_OPN&lt;&gt;"",IF(varHasHPS="Yes",IF($C$26="Yes",IF($B$219="Yes",IFERROR(VLOOKUP(tblCHKHPSI3C[[#This Row],[Pin Name]],tblHPS_I3C,4,FALSE),MSG!$B$10),MSG!$L$30),MSG!$J$12),MSG!$J$11),MSG!$J$10)</f>
        <v>HPS is not available in the selected device</v>
      </c>
      <c r="C379" s="90"/>
      <c r="D379" s="90"/>
      <c r="E379" s="173" t="str">
        <f>IF(var_OPN&lt;&gt;"",IF(varHasHPS="Yes",IF($C$26="Yes",IF($B$219="Yes",IFERROR(VLOOKUP(tblCHKHPSI3C[[#This Row],[Pin Name]],tblHPS_I3C,2,FALSE),MSG!$B$10),MSG!$L$30),MSG!$J$12),MSG!$J$11),MSG!$J$10)</f>
        <v>HPS is not available in the selected device</v>
      </c>
    </row>
    <row r="380" spans="1:5" ht="14" hidden="1" outlineLevel="2" thickBot="1">
      <c r="A380" s="81" t="s">
        <v>1045</v>
      </c>
      <c r="B380" s="184" t="str">
        <f>IF(var_OPN&lt;&gt;"",IF(varHasHPS="Yes",IF($C$26="Yes",IF($B$219="Yes",IFERROR(VLOOKUP(tblCHKHPSI3C[[#This Row],[Pin Name]],tblHPS_I3C,4,FALSE),MSG!$B$10),MSG!$L$30),MSG!$J$12),MSG!$J$11),MSG!$J$10)</f>
        <v>HPS is not available in the selected device</v>
      </c>
      <c r="C380" s="90"/>
      <c r="D380" s="90"/>
      <c r="E380" s="184" t="str">
        <f>IF(var_OPN&lt;&gt;"",IF(varHasHPS="Yes",IF($C$26="Yes",IF($B$219="Yes",IFERROR(VLOOKUP(tblCHKHPSI3C[[#This Row],[Pin Name]],tblHPS_I3C,2,FALSE),MSG!$B$10),MSG!$L$30),MSG!$J$12),MSG!$J$11),MSG!$J$10)</f>
        <v>HPS is not available in the selected device</v>
      </c>
    </row>
    <row r="381" spans="1:5" ht="14" hidden="1" outlineLevel="2" collapsed="1" thickBot="1">
      <c r="A381" s="81" t="s">
        <v>1042</v>
      </c>
      <c r="B381" s="173" t="str">
        <f>IF(var_OPN&lt;&gt;"",IF(varHasHPS="Yes",IF($C$26="Yes",IF($B$219="Yes",IFERROR(VLOOKUP(tblCHKHPSI3C[[#This Row],[Pin Name]],tblHPS_I3C,4,FALSE),MSG!$B$10),MSG!$L$30),MSG!$J$12),MSG!$J$11),MSG!$J$10)</f>
        <v>HPS is not available in the selected device</v>
      </c>
      <c r="C381" s="90"/>
      <c r="D381" s="90"/>
      <c r="E381" s="173" t="str">
        <f>IF(var_OPN&lt;&gt;"",IF(varHasHPS="Yes",IF($C$26="Yes",IF($B$219="Yes",IFERROR(VLOOKUP(tblCHKHPSI3C[[#This Row],[Pin Name]],tblHPS_I3C,2,FALSE),MSG!$B$10),MSG!$L$30),MSG!$J$12),MSG!$J$11),MSG!$J$10)</f>
        <v>HPS is not available in the selected device</v>
      </c>
    </row>
    <row r="382" spans="1:5" ht="14" outlineLevel="1" collapsed="1" thickBot="1"/>
    <row r="383" spans="1:5" ht="14" outlineLevel="1" thickBot="1">
      <c r="A383" s="83" t="s">
        <v>187</v>
      </c>
      <c r="B383" s="122"/>
      <c r="C383" s="123"/>
      <c r="D383" s="123"/>
      <c r="E383" s="122"/>
    </row>
    <row r="384" spans="1:5" ht="14" hidden="1" outlineLevel="2" thickBot="1">
      <c r="A384" s="83" t="s">
        <v>30</v>
      </c>
      <c r="B384" s="83" t="s">
        <v>31</v>
      </c>
      <c r="C384" s="83" t="s">
        <v>32</v>
      </c>
      <c r="D384" s="83" t="s">
        <v>33</v>
      </c>
      <c r="E384" s="83" t="s">
        <v>34</v>
      </c>
    </row>
    <row r="385" spans="1:7" ht="14" hidden="1" outlineLevel="2" thickBot="1">
      <c r="A385" s="81" t="s">
        <v>1406</v>
      </c>
      <c r="B385" s="173" t="str">
        <f>IF(var_OPN&lt;&gt;"",IF(varHasHPS="Yes",IF($C$26="Yes",IF($B$220="Yes",IFERROR(VLOOKUP(tblCHKHPSSPI[[#This Row],[Pin Name]],tblHPS_SPI,4,FALSE),MSG!$B$10),MSG!$J$90),MSG!$J$12),MSG!$J$11),MSG!$J$10)</f>
        <v>HPS is not available in the selected device</v>
      </c>
      <c r="C385" s="90"/>
      <c r="D385" s="90"/>
      <c r="E385" s="173" t="str">
        <f>IF(var_OPN&lt;&gt;"",IF(varHasHPS="Yes",IF($C$26="Yes",IF($B$220="Yes",IFERROR(VLOOKUP(tblCHKHPSSPI[[#This Row],[Pin Name]],tblHPS_SPI,2,FALSE),MSG!$B$10),MSG!$J$90),MSG!$J$12),MSG!$J$11),MSG!$J$10)</f>
        <v>HPS is not available in the selected device</v>
      </c>
    </row>
    <row r="386" spans="1:7" ht="14" hidden="1" outlineLevel="2" thickBot="1">
      <c r="A386" s="81" t="s">
        <v>1407</v>
      </c>
      <c r="B386" s="173" t="str">
        <f>IF(var_OPN&lt;&gt;"",IF(varHasHPS="Yes",IF($C$26="Yes",IF($B$220="Yes",IFERROR(VLOOKUP(tblCHKHPSSPI[[#This Row],[Pin Name]],tblHPS_SPI,4,FALSE),MSG!$B$10),MSG!$J$90),MSG!$J$12),MSG!$J$11),MSG!$J$10)</f>
        <v>HPS is not available in the selected device</v>
      </c>
      <c r="C386" s="90"/>
      <c r="D386" s="90"/>
      <c r="E386" s="173" t="str">
        <f>IF(var_OPN&lt;&gt;"",IF(varHasHPS="Yes",IF($C$26="Yes",IF($B$220="Yes",IFERROR(VLOOKUP(tblCHKHPSSPI[[#This Row],[Pin Name]],tblHPS_SPI,2,FALSE),MSG!$B$10),MSG!$J$90),MSG!$J$12),MSG!$J$11),MSG!$J$10)</f>
        <v>HPS is not available in the selected device</v>
      </c>
    </row>
    <row r="387" spans="1:7" ht="14" hidden="1" outlineLevel="2" thickBot="1">
      <c r="A387" s="81" t="s">
        <v>1408</v>
      </c>
      <c r="B387" s="173" t="str">
        <f>IF(var_OPN&lt;&gt;"",IF(varHasHPS="Yes",IF($C$26="Yes",IF($B$220="Yes",IFERROR(VLOOKUP(tblCHKHPSSPI[[#This Row],[Pin Name]],tblHPS_SPI,4,FALSE),MSG!$B$10),MSG!$J$90),MSG!$J$12),MSG!$J$11),MSG!$J$10)</f>
        <v>HPS is not available in the selected device</v>
      </c>
      <c r="C387" s="90"/>
      <c r="D387" s="90"/>
      <c r="E387" s="173" t="str">
        <f>IF(var_OPN&lt;&gt;"",IF(varHasHPS="Yes",IF($C$26="Yes",IF($B$220="Yes",IFERROR(VLOOKUP(tblCHKHPSSPI[[#This Row],[Pin Name]],tblHPS_SPI,2,FALSE),MSG!$B$10),MSG!$J$90),MSG!$J$12),MSG!$J$11),MSG!$J$10)</f>
        <v>HPS is not available in the selected device</v>
      </c>
    </row>
    <row r="388" spans="1:7" ht="14" hidden="1" outlineLevel="2" thickBot="1">
      <c r="A388" s="81" t="s">
        <v>1409</v>
      </c>
      <c r="B388" s="173" t="str">
        <f>IF(var_OPN&lt;&gt;"",IF(varHasHPS="Yes",IF($C$26="Yes",IF($B$220="Yes",IFERROR(VLOOKUP(tblCHKHPSSPI[[#This Row],[Pin Name]],tblHPS_SPI,4,FALSE),MSG!$B$10),MSG!$J$90),MSG!$J$12),MSG!$J$11),MSG!$J$10)</f>
        <v>HPS is not available in the selected device</v>
      </c>
      <c r="C388" s="90"/>
      <c r="D388" s="90"/>
      <c r="E388" s="173" t="str">
        <f>IF(var_OPN&lt;&gt;"",IF(varHasHPS="Yes",IF($C$26="Yes",IF($B$220="Yes",IFERROR(VLOOKUP(tblCHKHPSSPI[[#This Row],[Pin Name]],tblHPS_SPI,2,FALSE),MSG!$B$10),MSG!$J$90),MSG!$J$12),MSG!$J$11),MSG!$J$10)</f>
        <v>HPS is not available in the selected device</v>
      </c>
    </row>
    <row r="389" spans="1:7" ht="14" hidden="1" outlineLevel="2" thickBot="1">
      <c r="A389" s="81" t="s">
        <v>1410</v>
      </c>
      <c r="B389" s="173" t="str">
        <f>IF(var_OPN&lt;&gt;"",IF(varHasHPS="Yes",IF($C$26="Yes",IF($B$220="Yes",IFERROR(VLOOKUP(tblCHKHPSSPI[[#This Row],[Pin Name]],tblHPS_SPI,4,FALSE),MSG!$B$10),MSG!$J$90),MSG!$J$12),MSG!$J$11),MSG!$J$10)</f>
        <v>HPS is not available in the selected device</v>
      </c>
      <c r="C389" s="90"/>
      <c r="D389" s="90"/>
      <c r="E389" s="173" t="str">
        <f>IF(var_OPN&lt;&gt;"",IF(varHasHPS="Yes",IF($C$26="Yes",IF($B$220="Yes",IFERROR(VLOOKUP(tblCHKHPSSPI[[#This Row],[Pin Name]],tblHPS_SPI,2,FALSE),MSG!$B$10),MSG!$J$90),MSG!$J$12),MSG!$J$11),MSG!$J$10)</f>
        <v>HPS is not available in the selected device</v>
      </c>
    </row>
    <row r="390" spans="1:7" ht="14" hidden="1" outlineLevel="2" thickBot="1">
      <c r="A390" s="81" t="s">
        <v>1411</v>
      </c>
      <c r="B390" s="173" t="str">
        <f>IF(var_OPN&lt;&gt;"",IF(varHasHPS="Yes",IF($C$26="Yes",IF($B$220="Yes",IFERROR(VLOOKUP(tblCHKHPSSPI[[#This Row],[Pin Name]],tblHPS_SPI,4,FALSE),MSG!$B$10),MSG!$J$90),MSG!$J$12),MSG!$J$11),MSG!$J$10)</f>
        <v>HPS is not available in the selected device</v>
      </c>
      <c r="C390" s="90"/>
      <c r="D390" s="90"/>
      <c r="E390" s="173" t="str">
        <f>IF(var_OPN&lt;&gt;"",IF(varHasHPS="Yes",IF($C$26="Yes",IF($B$220="Yes",IFERROR(VLOOKUP(tblCHKHPSSPI[[#This Row],[Pin Name]],tblHPS_SPI,2,FALSE),MSG!$B$10),MSG!$J$90),MSG!$J$12),MSG!$J$11),MSG!$J$10)</f>
        <v>HPS is not available in the selected device</v>
      </c>
    </row>
    <row r="391" spans="1:7" ht="14" hidden="1" outlineLevel="2" collapsed="1" thickBot="1">
      <c r="A391" s="81" t="s">
        <v>1412</v>
      </c>
      <c r="B391" s="173" t="str">
        <f>IF(var_OPN&lt;&gt;"",IF(varHasHPS="Yes",IF($C$26="Yes",IF($B$220="Yes",IFERROR(VLOOKUP(tblCHKHPSSPI[[#This Row],[Pin Name]],tblHPS_SPI,4,FALSE),MSG!$B$10),MSG!$J$90),MSG!$J$12),MSG!$J$11),MSG!$J$10)</f>
        <v>HPS is not available in the selected device</v>
      </c>
      <c r="C391" s="90"/>
      <c r="D391" s="90"/>
      <c r="E391" s="173" t="str">
        <f>IF(var_OPN&lt;&gt;"",IF(varHasHPS="Yes",IF($C$26="Yes",IF($B$220="Yes",IFERROR(VLOOKUP(tblCHKHPSSPI[[#This Row],[Pin Name]],tblHPS_SPI,2,FALSE),MSG!$B$10),MSG!$J$90),MSG!$J$12),MSG!$J$11),MSG!$J$10)</f>
        <v>HPS is not available in the selected device</v>
      </c>
      <c r="F391" s="122"/>
      <c r="G391" s="122"/>
    </row>
    <row r="392" spans="1:7" ht="14" hidden="1" outlineLevel="2" thickBot="1">
      <c r="A392" s="81" t="s">
        <v>1413</v>
      </c>
      <c r="B392" s="173" t="str">
        <f>IF(var_OPN&lt;&gt;"",IF(varHasHPS="Yes",IF($C$26="Yes",IF($B$220="Yes",IFERROR(VLOOKUP(tblCHKHPSSPI[[#This Row],[Pin Name]],tblHPS_SPI,4,FALSE),MSG!$B$10),MSG!$J$90),MSG!$J$12),MSG!$J$11),MSG!$J$10)</f>
        <v>HPS is not available in the selected device</v>
      </c>
      <c r="C392" s="90"/>
      <c r="D392" s="90"/>
      <c r="E392" s="173" t="str">
        <f>IF(var_OPN&lt;&gt;"",IF(varHasHPS="Yes",IF($C$26="Yes",IF($B$220="Yes",IFERROR(VLOOKUP(tblCHKHPSSPI[[#This Row],[Pin Name]],tblHPS_SPI,2,FALSE),MSG!$B$10),MSG!$J$90),MSG!$J$12),MSG!$J$11),MSG!$J$10)</f>
        <v>HPS is not available in the selected device</v>
      </c>
    </row>
    <row r="393" spans="1:7" ht="14" hidden="1" outlineLevel="2" thickBot="1">
      <c r="A393" s="81" t="s">
        <v>1414</v>
      </c>
      <c r="B393" s="173" t="str">
        <f>IF(var_OPN&lt;&gt;"",IF(varHasHPS="Yes",IF($C$26="Yes",IF($B$220="Yes",IFERROR(VLOOKUP(tblCHKHPSSPI[[#This Row],[Pin Name]],tblHPS_SPI,4,FALSE),MSG!$B$10),MSG!$J$90),MSG!$J$12),MSG!$J$11),MSG!$J$10)</f>
        <v>HPS is not available in the selected device</v>
      </c>
      <c r="C393" s="90"/>
      <c r="D393" s="90"/>
      <c r="E393" s="173" t="str">
        <f>IF(var_OPN&lt;&gt;"",IF(varHasHPS="Yes",IF($C$26="Yes",IF($B$220="Yes",IFERROR(VLOOKUP(tblCHKHPSSPI[[#This Row],[Pin Name]],tblHPS_SPI,2,FALSE),MSG!$B$10),MSG!$J$90),MSG!$J$12),MSG!$J$11),MSG!$J$10)</f>
        <v>HPS is not available in the selected device</v>
      </c>
    </row>
    <row r="394" spans="1:7" ht="14" hidden="1" outlineLevel="2" thickBot="1">
      <c r="A394" s="81" t="s">
        <v>1415</v>
      </c>
      <c r="B394" s="173" t="str">
        <f>IF(var_OPN&lt;&gt;"",IF(varHasHPS="Yes",IF($C$26="Yes",IF($B$220="Yes",IFERROR(VLOOKUP(tblCHKHPSSPI[[#This Row],[Pin Name]],tblHPS_SPI,4,FALSE),MSG!$B$10),MSG!$J$90),MSG!$J$12),MSG!$J$11),MSG!$J$10)</f>
        <v>HPS is not available in the selected device</v>
      </c>
      <c r="C394" s="90"/>
      <c r="D394" s="90"/>
      <c r="E394" s="173" t="str">
        <f>IF(var_OPN&lt;&gt;"",IF(varHasHPS="Yes",IF($C$26="Yes",IF($B$220="Yes",IFERROR(VLOOKUP(tblCHKHPSSPI[[#This Row],[Pin Name]],tblHPS_SPI,2,FALSE),MSG!$B$10),MSG!$J$90),MSG!$J$12),MSG!$J$11),MSG!$J$10)</f>
        <v>HPS is not available in the selected device</v>
      </c>
    </row>
    <row r="395" spans="1:7" ht="14" hidden="1" outlineLevel="2" thickBot="1">
      <c r="A395" s="81" t="s">
        <v>1416</v>
      </c>
      <c r="B395" s="173" t="str">
        <f>IF(var_OPN&lt;&gt;"",IF(varHasHPS="Yes",IF($C$26="Yes",IF($B$220="Yes",IFERROR(VLOOKUP(tblCHKHPSSPI[[#This Row],[Pin Name]],tblHPS_SPI,4,FALSE),MSG!$B$10),MSG!$J$90),MSG!$J$12),MSG!$J$11),MSG!$J$10)</f>
        <v>HPS is not available in the selected device</v>
      </c>
      <c r="C395" s="90"/>
      <c r="D395" s="90"/>
      <c r="E395" s="173" t="str">
        <f>IF(var_OPN&lt;&gt;"",IF(varHasHPS="Yes",IF($C$26="Yes",IF($B$220="Yes",IFERROR(VLOOKUP(tblCHKHPSSPI[[#This Row],[Pin Name]],tblHPS_SPI,2,FALSE),MSG!$B$10),MSG!$J$90),MSG!$J$12),MSG!$J$11),MSG!$J$10)</f>
        <v>HPS is not available in the selected device</v>
      </c>
    </row>
    <row r="396" spans="1:7" ht="14" hidden="1" outlineLevel="2" thickBot="1">
      <c r="A396" s="81" t="s">
        <v>1417</v>
      </c>
      <c r="B396" s="173" t="str">
        <f>IF(var_OPN&lt;&gt;"",IF(varHasHPS="Yes",IF($C$26="Yes",IF($B$220="Yes",IFERROR(VLOOKUP(tblCHKHPSSPI[[#This Row],[Pin Name]],tblHPS_SPI,4,FALSE),MSG!$B$10),MSG!$J$90),MSG!$J$12),MSG!$J$11),MSG!$J$10)</f>
        <v>HPS is not available in the selected device</v>
      </c>
      <c r="C396" s="90"/>
      <c r="D396" s="90"/>
      <c r="E396" s="173" t="str">
        <f>IF(var_OPN&lt;&gt;"",IF(varHasHPS="Yes",IF($C$26="Yes",IF($B$220="Yes",IFERROR(VLOOKUP(tblCHKHPSSPI[[#This Row],[Pin Name]],tblHPS_SPI,2,FALSE),MSG!$B$10),MSG!$J$90),MSG!$J$12),MSG!$J$11),MSG!$J$10)</f>
        <v>HPS is not available in the selected device</v>
      </c>
    </row>
    <row r="397" spans="1:7" ht="14" hidden="1" outlineLevel="2" thickBot="1">
      <c r="A397" s="81" t="s">
        <v>1418</v>
      </c>
      <c r="B397" s="173" t="str">
        <f>IF(var_OPN&lt;&gt;"",IF(varHasHPS="Yes",IF($C$26="Yes",IF($B$220="Yes",IFERROR(VLOOKUP(tblCHKHPSSPI[[#This Row],[Pin Name]],tblHPS_SPI,4,FALSE),MSG!$B$10),MSG!$J$90),MSG!$J$12),MSG!$J$11),MSG!$J$10)</f>
        <v>HPS is not available in the selected device</v>
      </c>
      <c r="C397" s="90"/>
      <c r="D397" s="90"/>
      <c r="E397" s="173" t="str">
        <f>IF(var_OPN&lt;&gt;"",IF(varHasHPS="Yes",IF($C$26="Yes",IF($B$220="Yes",IFERROR(VLOOKUP(tblCHKHPSSPI[[#This Row],[Pin Name]],tblHPS_SPI,2,FALSE),MSG!$B$10),MSG!$J$90),MSG!$J$12),MSG!$J$11),MSG!$J$10)</f>
        <v>HPS is not available in the selected device</v>
      </c>
    </row>
    <row r="398" spans="1:7" ht="14" hidden="1" outlineLevel="2" thickBot="1">
      <c r="A398" s="81" t="s">
        <v>1419</v>
      </c>
      <c r="B398" s="173" t="str">
        <f>IF(var_OPN&lt;&gt;"",IF(varHasHPS="Yes",IF($C$26="Yes",IF($B$220="Yes",IFERROR(VLOOKUP(tblCHKHPSSPI[[#This Row],[Pin Name]],tblHPS_SPI,4,FALSE),MSG!$B$10),MSG!$J$90),MSG!$J$12),MSG!$J$11),MSG!$J$10)</f>
        <v>HPS is not available in the selected device</v>
      </c>
      <c r="C398" s="90"/>
      <c r="D398" s="90"/>
      <c r="E398" s="173" t="str">
        <f>IF(var_OPN&lt;&gt;"",IF(varHasHPS="Yes",IF($C$26="Yes",IF($B$220="Yes",IFERROR(VLOOKUP(tblCHKHPSSPI[[#This Row],[Pin Name]],tblHPS_SPI,2,FALSE),MSG!$B$10),MSG!$J$90),MSG!$J$12),MSG!$J$11),MSG!$J$10)</f>
        <v>HPS is not available in the selected device</v>
      </c>
    </row>
    <row r="399" spans="1:7" ht="14" hidden="1" outlineLevel="2" thickBot="1">
      <c r="A399" s="81" t="s">
        <v>1420</v>
      </c>
      <c r="B399" s="173" t="str">
        <f>IF(var_OPN&lt;&gt;"",IF(varHasHPS="Yes",IF($C$26="Yes",IF($B$220="Yes",IFERROR(VLOOKUP(tblCHKHPSSPI[[#This Row],[Pin Name]],tblHPS_SPI,4,FALSE),MSG!$B$10),MSG!$J$90),MSG!$J$12),MSG!$J$11),MSG!$J$10)</f>
        <v>HPS is not available in the selected device</v>
      </c>
      <c r="C399" s="90"/>
      <c r="D399" s="90"/>
      <c r="E399" s="173" t="str">
        <f>IF(var_OPN&lt;&gt;"",IF(varHasHPS="Yes",IF($C$26="Yes",IF($B$220="Yes",IFERROR(VLOOKUP(tblCHKHPSSPI[[#This Row],[Pin Name]],tblHPS_SPI,2,FALSE),MSG!$B$10),MSG!$J$90),MSG!$J$12),MSG!$J$11),MSG!$J$10)</f>
        <v>HPS is not available in the selected device</v>
      </c>
    </row>
    <row r="400" spans="1:7" ht="14" hidden="1" outlineLevel="2" thickBot="1">
      <c r="A400" s="81" t="s">
        <v>1421</v>
      </c>
      <c r="B400" s="173" t="str">
        <f>IF(var_OPN&lt;&gt;"",IF(varHasHPS="Yes",IF($C$26="Yes",IF($B$220="Yes",IFERROR(VLOOKUP(tblCHKHPSSPI[[#This Row],[Pin Name]],tblHPS_SPI,4,FALSE),MSG!$B$10),MSG!$J$90),MSG!$J$12),MSG!$J$11),MSG!$J$10)</f>
        <v>HPS is not available in the selected device</v>
      </c>
      <c r="C400" s="90"/>
      <c r="D400" s="90"/>
      <c r="E400" s="173" t="str">
        <f>IF(var_OPN&lt;&gt;"",IF(varHasHPS="Yes",IF($C$26="Yes",IF($B$220="Yes",IFERROR(VLOOKUP(tblCHKHPSSPI[[#This Row],[Pin Name]],tblHPS_SPI,2,FALSE),MSG!$B$10),MSG!$J$90),MSG!$J$12),MSG!$J$11),MSG!$J$10)</f>
        <v>HPS is not available in the selected device</v>
      </c>
    </row>
    <row r="401" spans="1:5" ht="14" hidden="1" outlineLevel="2" thickBot="1">
      <c r="A401" s="81" t="s">
        <v>1422</v>
      </c>
      <c r="B401" s="173" t="str">
        <f>IF(var_OPN&lt;&gt;"",IF(varHasHPS="Yes",IF($C$26="Yes",IF($B$220="Yes",IFERROR(VLOOKUP(tblCHKHPSSPI[[#This Row],[Pin Name]],tblHPS_SPI,4,FALSE),MSG!$B$10),MSG!$J$90),MSG!$J$12),MSG!$J$11),MSG!$J$10)</f>
        <v>HPS is not available in the selected device</v>
      </c>
      <c r="C401" s="90"/>
      <c r="D401" s="90"/>
      <c r="E401" s="173" t="str">
        <f>IF(var_OPN&lt;&gt;"",IF(varHasHPS="Yes",IF($C$26="Yes",IF($B$220="Yes",IFERROR(VLOOKUP(tblCHKHPSSPI[[#This Row],[Pin Name]],tblHPS_SPI,2,FALSE),MSG!$B$10),MSG!$J$90),MSG!$J$12),MSG!$J$11),MSG!$J$10)</f>
        <v>HPS is not available in the selected device</v>
      </c>
    </row>
    <row r="402" spans="1:5" ht="14" hidden="1" outlineLevel="2" collapsed="1" thickBot="1">
      <c r="A402" s="81" t="s">
        <v>1423</v>
      </c>
      <c r="B402" s="173" t="str">
        <f>IF(var_OPN&lt;&gt;"",IF(varHasHPS="Yes",IF($C$26="Yes",IF($B$220="Yes",IFERROR(VLOOKUP(tblCHKHPSSPI[[#This Row],[Pin Name]],tblHPS_SPI,4,FALSE),MSG!$B$10),MSG!$J$90),MSG!$J$12),MSG!$J$11),MSG!$J$10)</f>
        <v>HPS is not available in the selected device</v>
      </c>
      <c r="C402" s="90"/>
      <c r="D402" s="90"/>
      <c r="E402" s="173" t="str">
        <f>IF(var_OPN&lt;&gt;"",IF(varHasHPS="Yes",IF($C$26="Yes",IF($B$220="Yes",IFERROR(VLOOKUP(tblCHKHPSSPI[[#This Row],[Pin Name]],tblHPS_SPI,2,FALSE),MSG!$B$10),MSG!$J$90),MSG!$J$12),MSG!$J$11),MSG!$J$10)</f>
        <v>HPS is not available in the selected device</v>
      </c>
    </row>
    <row r="403" spans="1:5" ht="14" outlineLevel="1" collapsed="1" thickBot="1"/>
    <row r="404" spans="1:5" ht="14" outlineLevel="1" thickBot="1">
      <c r="A404" s="83" t="s">
        <v>188</v>
      </c>
      <c r="B404" s="122"/>
      <c r="C404" s="123"/>
      <c r="D404" s="123"/>
      <c r="E404" s="122"/>
    </row>
    <row r="405" spans="1:5" ht="14" hidden="1" outlineLevel="2" thickBot="1">
      <c r="A405" s="83" t="s">
        <v>30</v>
      </c>
      <c r="B405" s="83" t="s">
        <v>31</v>
      </c>
      <c r="C405" s="83" t="s">
        <v>32</v>
      </c>
      <c r="D405" s="83" t="s">
        <v>33</v>
      </c>
      <c r="E405" s="83" t="s">
        <v>34</v>
      </c>
    </row>
    <row r="406" spans="1:5" ht="14" hidden="1" outlineLevel="2" thickBot="1">
      <c r="A406" s="81" t="s">
        <v>1428</v>
      </c>
      <c r="B406" s="173" t="str">
        <f>IF(var_OPN&lt;&gt;"",IF(varHasHPS="Yes",IF($C$26="Yes",IF($B$221="Yes",IFERROR(VLOOKUP(tblCHKHPSUART[[#This Row],[Pin Name]],tblHPS_UART,4,FALSE),MSG!$B$10),MSG!$L$10),MSG!$J$12),MSG!$J$11),MSG!$J$10)</f>
        <v>HPS is not available in the selected device</v>
      </c>
      <c r="C406" s="90"/>
      <c r="D406" s="90"/>
      <c r="E406" s="173" t="str">
        <f>IF(var_OPN&lt;&gt;"",IF(varHasHPS="Yes",IF($C$26="Yes",IF($B$221="Yes",IFERROR(VLOOKUP(tblCHKHPSUART[[#This Row],[Pin Name]],tblHPS_UART,2,FALSE),MSG!$B$10),MSG!$L$10),MSG!$J$12),MSG!$J$11),MSG!$J$10)</f>
        <v>HPS is not available in the selected device</v>
      </c>
    </row>
    <row r="407" spans="1:5" ht="14" hidden="1" outlineLevel="2" thickBot="1">
      <c r="A407" s="81" t="s">
        <v>1429</v>
      </c>
      <c r="B407" s="173" t="str">
        <f>IF(var_OPN&lt;&gt;"",IF(varHasHPS="Yes",IF($C$26="Yes",IF($B$221="Yes",IFERROR(VLOOKUP(tblCHKHPSUART[[#This Row],[Pin Name]],tblHPS_UART,4,FALSE),MSG!$B$10),MSG!$L$10),MSG!$J$12),MSG!$J$11),MSG!$J$10)</f>
        <v>HPS is not available in the selected device</v>
      </c>
      <c r="C407" s="90"/>
      <c r="D407" s="90"/>
      <c r="E407" s="173" t="str">
        <f>IF(var_OPN&lt;&gt;"",IF(varHasHPS="Yes",IF($C$26="Yes",IF($B$221="Yes",IFERROR(VLOOKUP(tblCHKHPSUART[[#This Row],[Pin Name]],tblHPS_UART,2,FALSE),MSG!$B$10),MSG!$L$10),MSG!$J$12),MSG!$J$11),MSG!$J$10)</f>
        <v>HPS is not available in the selected device</v>
      </c>
    </row>
    <row r="408" spans="1:5" ht="14" hidden="1" outlineLevel="2" thickBot="1">
      <c r="A408" s="81" t="s">
        <v>1430</v>
      </c>
      <c r="B408" s="173" t="str">
        <f>IF(var_OPN&lt;&gt;"",IF(varHasHPS="Yes",IF($C$26="Yes",IF($B$221="Yes",IFERROR(VLOOKUP(tblCHKHPSUART[[#This Row],[Pin Name]],tblHPS_UART,4,FALSE),MSG!$B$10),MSG!$L$10),MSG!$J$12),MSG!$J$11),MSG!$J$10)</f>
        <v>HPS is not available in the selected device</v>
      </c>
      <c r="C408" s="90"/>
      <c r="D408" s="90"/>
      <c r="E408" s="173" t="str">
        <f>IF(var_OPN&lt;&gt;"",IF(varHasHPS="Yes",IF($C$26="Yes",IF($B$221="Yes",IFERROR(VLOOKUP(tblCHKHPSUART[[#This Row],[Pin Name]],tblHPS_UART,2,FALSE),MSG!$B$10),MSG!$L$10),MSG!$J$12),MSG!$J$11),MSG!$J$10)</f>
        <v>HPS is not available in the selected device</v>
      </c>
    </row>
    <row r="409" spans="1:5" ht="14" hidden="1" outlineLevel="2" thickBot="1">
      <c r="A409" s="81" t="s">
        <v>1431</v>
      </c>
      <c r="B409" s="173" t="str">
        <f>IF(var_OPN&lt;&gt;"",IF(varHasHPS="Yes",IF($C$26="Yes",IF($B$221="Yes",IFERROR(VLOOKUP(tblCHKHPSUART[[#This Row],[Pin Name]],tblHPS_UART,4,FALSE),MSG!$B$10),MSG!$L$10),MSG!$J$12),MSG!$J$11),MSG!$J$10)</f>
        <v>HPS is not available in the selected device</v>
      </c>
      <c r="C409" s="90"/>
      <c r="D409" s="90"/>
      <c r="E409" s="173" t="str">
        <f>IF(var_OPN&lt;&gt;"",IF(varHasHPS="Yes",IF($C$26="Yes",IF($B$221="Yes",IFERROR(VLOOKUP(tblCHKHPSUART[[#This Row],[Pin Name]],tblHPS_UART,2,FALSE),MSG!$B$10),MSG!$L$10),MSG!$J$12),MSG!$J$11),MSG!$J$10)</f>
        <v>HPS is not available in the selected device</v>
      </c>
    </row>
    <row r="410" spans="1:5" ht="14" hidden="1" outlineLevel="2" thickBot="1">
      <c r="A410" s="81" t="s">
        <v>1432</v>
      </c>
      <c r="B410" s="173" t="str">
        <f>IF(var_OPN&lt;&gt;"",IF(varHasHPS="Yes",IF($C$26="Yes",IF($B$221="Yes",IFERROR(VLOOKUP(tblCHKHPSUART[[#This Row],[Pin Name]],tblHPS_UART,4,FALSE),MSG!$B$10),MSG!$L$10),MSG!$J$12),MSG!$J$11),MSG!$J$10)</f>
        <v>HPS is not available in the selected device</v>
      </c>
      <c r="C410" s="90"/>
      <c r="D410" s="90"/>
      <c r="E410" s="173" t="str">
        <f>IF(var_OPN&lt;&gt;"",IF(varHasHPS="Yes",IF($C$26="Yes",IF($B$221="Yes",IFERROR(VLOOKUP(tblCHKHPSUART[[#This Row],[Pin Name]],tblHPS_UART,2,FALSE),MSG!$B$10),MSG!$L$10),MSG!$J$12),MSG!$J$11),MSG!$J$10)</f>
        <v>HPS is not available in the selected device</v>
      </c>
    </row>
    <row r="411" spans="1:5" ht="14" hidden="1" outlineLevel="2" thickBot="1">
      <c r="A411" s="81" t="s">
        <v>1433</v>
      </c>
      <c r="B411" s="173" t="str">
        <f>IF(var_OPN&lt;&gt;"",IF(varHasHPS="Yes",IF($C$26="Yes",IF($B$221="Yes",IFERROR(VLOOKUP(tblCHKHPSUART[[#This Row],[Pin Name]],tblHPS_UART,4,FALSE),MSG!$B$10),MSG!$L$10),MSG!$J$12),MSG!$J$11),MSG!$J$10)</f>
        <v>HPS is not available in the selected device</v>
      </c>
      <c r="C411" s="90"/>
      <c r="D411" s="90"/>
      <c r="E411" s="173" t="str">
        <f>IF(var_OPN&lt;&gt;"",IF(varHasHPS="Yes",IF($C$26="Yes",IF($B$221="Yes",IFERROR(VLOOKUP(tblCHKHPSUART[[#This Row],[Pin Name]],tblHPS_UART,2,FALSE),MSG!$B$10),MSG!$L$10),MSG!$J$12),MSG!$J$11),MSG!$J$10)</f>
        <v>HPS is not available in the selected device</v>
      </c>
    </row>
    <row r="412" spans="1:5" ht="14" hidden="1" outlineLevel="2" thickBot="1">
      <c r="A412" s="81" t="s">
        <v>1434</v>
      </c>
      <c r="B412" s="173" t="str">
        <f>IF(var_OPN&lt;&gt;"",IF(varHasHPS="Yes",IF($C$26="Yes",IF($B$221="Yes",IFERROR(VLOOKUP(tblCHKHPSUART[[#This Row],[Pin Name]],tblHPS_UART,4,FALSE),MSG!$B$10),MSG!$L$10),MSG!$J$12),MSG!$J$11),MSG!$J$10)</f>
        <v>HPS is not available in the selected device</v>
      </c>
      <c r="C412" s="90"/>
      <c r="D412" s="90"/>
      <c r="E412" s="173" t="str">
        <f>IF(var_OPN&lt;&gt;"",IF(varHasHPS="Yes",IF($C$26="Yes",IF($B$221="Yes",IFERROR(VLOOKUP(tblCHKHPSUART[[#This Row],[Pin Name]],tblHPS_UART,2,FALSE),MSG!$B$10),MSG!$L$10),MSG!$J$12),MSG!$J$11),MSG!$J$10)</f>
        <v>HPS is not available in the selected device</v>
      </c>
    </row>
    <row r="413" spans="1:5" ht="14" hidden="1" outlineLevel="2" collapsed="1" thickBot="1">
      <c r="A413" s="81" t="s">
        <v>1435</v>
      </c>
      <c r="B413" s="173" t="str">
        <f>IF(var_OPN&lt;&gt;"",IF(varHasHPS="Yes",IF($C$26="Yes",IF($B$221="Yes",IFERROR(VLOOKUP(tblCHKHPSUART[[#This Row],[Pin Name]],tblHPS_UART,4,FALSE),MSG!$B$10),MSG!$L$10),MSG!$J$12),MSG!$J$11),MSG!$J$10)</f>
        <v>HPS is not available in the selected device</v>
      </c>
      <c r="C413" s="90"/>
      <c r="D413" s="90"/>
      <c r="E413" s="173" t="str">
        <f>IF(var_OPN&lt;&gt;"",IF(varHasHPS="Yes",IF($C$26="Yes",IF($B$221="Yes",IFERROR(VLOOKUP(tblCHKHPSUART[[#This Row],[Pin Name]],tblHPS_UART,2,FALSE),MSG!$B$10),MSG!$L$10),MSG!$J$12),MSG!$J$11),MSG!$J$10)</f>
        <v>HPS is not available in the selected device</v>
      </c>
    </row>
    <row r="414" spans="1:5" ht="14" outlineLevel="1" collapsed="1" thickBot="1">
      <c r="A414" s="121"/>
      <c r="B414" s="99"/>
      <c r="C414" s="60"/>
      <c r="D414" s="60"/>
      <c r="E414" s="99"/>
    </row>
    <row r="415" spans="1:5" ht="14" outlineLevel="1" thickBot="1">
      <c r="A415" s="83" t="s">
        <v>189</v>
      </c>
      <c r="B415" s="122"/>
      <c r="C415" s="123"/>
      <c r="D415" s="123"/>
      <c r="E415" s="122"/>
    </row>
    <row r="416" spans="1:5" ht="14" hidden="1" outlineLevel="2" thickBot="1">
      <c r="A416" s="83" t="s">
        <v>30</v>
      </c>
      <c r="B416" s="83" t="s">
        <v>31</v>
      </c>
      <c r="C416" s="83" t="s">
        <v>32</v>
      </c>
      <c r="D416" s="83" t="s">
        <v>33</v>
      </c>
      <c r="E416" s="83" t="s">
        <v>34</v>
      </c>
    </row>
    <row r="417" spans="1:5" ht="14" hidden="1" outlineLevel="2" thickBot="1">
      <c r="A417" s="81" t="s">
        <v>190</v>
      </c>
      <c r="B417" s="173" t="str">
        <f>IF(var_OPN&lt;&gt;"",IF(varHasHPS="Yes",IF($C$26="Yes",IF($B$222="Yes",IFERROR(VLOOKUP(tblCHKHPSTRACE[[#This Row],[Pin Name]],tblHPS_TRACE,4,FALSE),MSG!$B$10),MSG!$L$20),MSG!$J$12),MSG!$J$11),MSG!$J$10)</f>
        <v>HPS is not available in the selected device</v>
      </c>
      <c r="C417" s="90"/>
      <c r="D417" s="90"/>
      <c r="E417" s="173" t="str">
        <f>IF(var_OPN&lt;&gt;"",IF(varHasHPS="Yes",IF($C$26="Yes",IF($B$222="Yes",IFERROR(VLOOKUP(tblCHKHPSTRACE[[#This Row],[Pin Name]],tblHPS_TRACE,2,FALSE),MSG!$B$10),MSG!$L$20),MSG!$J$12),MSG!$J$11),MSG!$J$10)</f>
        <v>HPS is not available in the selected device</v>
      </c>
    </row>
    <row r="418" spans="1:5" ht="14" hidden="1" outlineLevel="2" thickBot="1">
      <c r="A418" s="81" t="s">
        <v>191</v>
      </c>
      <c r="B418" s="173" t="str">
        <f>IF(var_OPN&lt;&gt;"",IF(varHasHPS="Yes",IF($C$26="Yes",IF($B$222="Yes",IFERROR(VLOOKUP(tblCHKHPSTRACE[[#This Row],[Pin Name]],tblHPS_TRACE,4,FALSE),MSG!$B$10),MSG!$L$20),MSG!$J$12),MSG!$J$11),MSG!$J$10)</f>
        <v>HPS is not available in the selected device</v>
      </c>
      <c r="C418" s="90"/>
      <c r="D418" s="90"/>
      <c r="E418" s="173" t="str">
        <f>IF(var_OPN&lt;&gt;"",IF(varHasHPS="Yes",IF($C$26="Yes",IF($B$222="Yes",IFERROR(VLOOKUP(tblCHKHPSTRACE[[#This Row],[Pin Name]],tblHPS_TRACE,2,FALSE),MSG!$B$10),MSG!$L$20),MSG!$J$12),MSG!$J$11),MSG!$J$10)</f>
        <v>HPS is not available in the selected device</v>
      </c>
    </row>
    <row r="419" spans="1:5" ht="14" hidden="1" outlineLevel="2" thickBot="1">
      <c r="A419" s="81" t="s">
        <v>192</v>
      </c>
      <c r="B419" s="173" t="str">
        <f>IF(var_OPN&lt;&gt;"",IF(varHasHPS="Yes",IF($C$26="Yes",IF($B$222="Yes",IFERROR(VLOOKUP(tblCHKHPSTRACE[[#This Row],[Pin Name]],tblHPS_TRACE,4,FALSE),MSG!$B$10),MSG!$L$20),MSG!$J$12),MSG!$J$11),MSG!$J$10)</f>
        <v>HPS is not available in the selected device</v>
      </c>
      <c r="C419" s="90"/>
      <c r="D419" s="90"/>
      <c r="E419" s="173" t="str">
        <f>IF(var_OPN&lt;&gt;"",IF(varHasHPS="Yes",IF($C$26="Yes",IF($B$222="Yes",IFERROR(VLOOKUP(tblCHKHPSTRACE[[#This Row],[Pin Name]],tblHPS_TRACE,2,FALSE),MSG!$B$10),MSG!$L$20),MSG!$J$12),MSG!$J$11),MSG!$J$10)</f>
        <v>HPS is not available in the selected device</v>
      </c>
    </row>
    <row r="420" spans="1:5" ht="14" hidden="1" outlineLevel="2" thickBot="1">
      <c r="A420" s="81" t="s">
        <v>193</v>
      </c>
      <c r="B420" s="173" t="str">
        <f>IF(var_OPN&lt;&gt;"",IF(varHasHPS="Yes",IF($C$26="Yes",IF($B$222="Yes",IFERROR(VLOOKUP(tblCHKHPSTRACE[[#This Row],[Pin Name]],tblHPS_TRACE,4,FALSE),MSG!$B$10),MSG!$L$20),MSG!$J$12),MSG!$J$11),MSG!$J$10)</f>
        <v>HPS is not available in the selected device</v>
      </c>
      <c r="C420" s="90"/>
      <c r="D420" s="90"/>
      <c r="E420" s="173" t="str">
        <f>IF(var_OPN&lt;&gt;"",IF(varHasHPS="Yes",IF($C$26="Yes",IF($B$222="Yes",IFERROR(VLOOKUP(tblCHKHPSTRACE[[#This Row],[Pin Name]],tblHPS_TRACE,2,FALSE),MSG!$B$10),MSG!$L$20),MSG!$J$12),MSG!$J$11),MSG!$J$10)</f>
        <v>HPS is not available in the selected device</v>
      </c>
    </row>
    <row r="421" spans="1:5" ht="14" hidden="1" outlineLevel="2" thickBot="1">
      <c r="A421" s="81" t="s">
        <v>194</v>
      </c>
      <c r="B421" s="173" t="str">
        <f>IF(var_OPN&lt;&gt;"",IF(varHasHPS="Yes",IF($C$26="Yes",IF($B$222="Yes",IFERROR(VLOOKUP(tblCHKHPSTRACE[[#This Row],[Pin Name]],tblHPS_TRACE,4,FALSE),MSG!$B$10),MSG!$L$20),MSG!$J$12),MSG!$J$11),MSG!$J$10)</f>
        <v>HPS is not available in the selected device</v>
      </c>
      <c r="C421" s="90"/>
      <c r="D421" s="90"/>
      <c r="E421" s="173" t="str">
        <f>IF(var_OPN&lt;&gt;"",IF(varHasHPS="Yes",IF($C$26="Yes",IF($B$222="Yes",IFERROR(VLOOKUP(tblCHKHPSTRACE[[#This Row],[Pin Name]],tblHPS_TRACE,2,FALSE),MSG!$B$10),MSG!$L$20),MSG!$J$12),MSG!$J$11),MSG!$J$10)</f>
        <v>HPS is not available in the selected device</v>
      </c>
    </row>
    <row r="422" spans="1:5" ht="14" hidden="1" outlineLevel="2" collapsed="1" thickBot="1">
      <c r="A422" s="81" t="s">
        <v>195</v>
      </c>
      <c r="B422" s="173" t="str">
        <f>IF(var_OPN&lt;&gt;"",IF(varHasHPS="Yes",IF($C$26="Yes",IF($B$222="Yes",IFERROR(VLOOKUP(tblCHKHPSTRACE[[#This Row],[Pin Name]],tblHPS_TRACE,4,FALSE),MSG!$B$10),MSG!$L$20),MSG!$J$12),MSG!$J$11),MSG!$J$10)</f>
        <v>HPS is not available in the selected device</v>
      </c>
      <c r="C422" s="90"/>
      <c r="D422" s="90"/>
      <c r="E422" s="173" t="str">
        <f>IF(var_OPN&lt;&gt;"",IF(varHasHPS="Yes",IF($C$26="Yes",IF($B$222="Yes",IFERROR(VLOOKUP(tblCHKHPSTRACE[[#This Row],[Pin Name]],tblHPS_TRACE,2,FALSE),MSG!$B$10),MSG!$L$20),MSG!$J$12),MSG!$J$11),MSG!$J$10)</f>
        <v>HPS is not available in the selected device</v>
      </c>
    </row>
    <row r="423" spans="1:5" ht="14" hidden="1" outlineLevel="2" collapsed="1" thickBot="1">
      <c r="A423" s="81" t="s">
        <v>196</v>
      </c>
      <c r="B423" s="173" t="str">
        <f>IF(var_OPN&lt;&gt;"",IF(varHasHPS="Yes",IF($C$26="Yes",IF($B$222="Yes",IFERROR(VLOOKUP(tblCHKHPSTRACE[[#This Row],[Pin Name]],tblHPS_TRACE,4,FALSE),MSG!$B$10),MSG!$L$20),MSG!$J$12),MSG!$J$11),MSG!$J$10)</f>
        <v>HPS is not available in the selected device</v>
      </c>
      <c r="C423" s="90"/>
      <c r="D423" s="90"/>
      <c r="E423" s="173" t="str">
        <f>IF(var_OPN&lt;&gt;"",IF(varHasHPS="Yes",IF($C$26="Yes",IF($B$222="Yes",IFERROR(VLOOKUP(tblCHKHPSTRACE[[#This Row],[Pin Name]],tblHPS_TRACE,2,FALSE),MSG!$B$10),MSG!$L$20),MSG!$J$12),MSG!$J$11),MSG!$J$10)</f>
        <v>HPS is not available in the selected device</v>
      </c>
    </row>
    <row r="424" spans="1:5" s="91" customFormat="1" ht="15.5" hidden="1" outlineLevel="2" thickBot="1">
      <c r="A424" s="81" t="s">
        <v>197</v>
      </c>
      <c r="B424" s="173" t="str">
        <f>IF(var_OPN&lt;&gt;"",IF(varHasHPS="Yes",IF($C$26="Yes",IF($B$222="Yes",IFERROR(VLOOKUP(tblCHKHPSTRACE[[#This Row],[Pin Name]],tblHPS_TRACE,4,FALSE),MSG!$B$10),MSG!$L$20),MSG!$J$12),MSG!$J$11),MSG!$J$10)</f>
        <v>HPS is not available in the selected device</v>
      </c>
      <c r="C424" s="90"/>
      <c r="D424" s="90"/>
      <c r="E424" s="173" t="str">
        <f>IF(var_OPN&lt;&gt;"",IF(varHasHPS="Yes",IF($C$26="Yes",IF($B$222="Yes",IFERROR(VLOOKUP(tblCHKHPSTRACE[[#This Row],[Pin Name]],tblHPS_TRACE,2,FALSE),MSG!$B$10),MSG!$L$20),MSG!$J$12),MSG!$J$11),MSG!$J$10)</f>
        <v>HPS is not available in the selected device</v>
      </c>
    </row>
    <row r="425" spans="1:5" ht="14" hidden="1" outlineLevel="2" thickBot="1">
      <c r="A425" s="81" t="s">
        <v>198</v>
      </c>
      <c r="B425" s="173" t="str">
        <f>IF(var_OPN&lt;&gt;"",IF(varHasHPS="Yes",IF($C$26="Yes",IF($B$222="Yes",IFERROR(VLOOKUP(tblCHKHPSTRACE[[#This Row],[Pin Name]],tblHPS_TRACE,4,FALSE),MSG!$B$10),MSG!$L$20),MSG!$J$12),MSG!$J$11),MSG!$J$10)</f>
        <v>HPS is not available in the selected device</v>
      </c>
      <c r="C425" s="90"/>
      <c r="D425" s="90"/>
      <c r="E425" s="173" t="str">
        <f>IF(var_OPN&lt;&gt;"",IF(varHasHPS="Yes",IF($C$26="Yes",IF($B$222="Yes",IFERROR(VLOOKUP(tblCHKHPSTRACE[[#This Row],[Pin Name]],tblHPS_TRACE,2,FALSE),MSG!$B$10),MSG!$L$20),MSG!$J$12),MSG!$J$11),MSG!$J$10)</f>
        <v>HPS is not available in the selected device</v>
      </c>
    </row>
    <row r="426" spans="1:5" ht="14" hidden="1" outlineLevel="2" thickBot="1">
      <c r="A426" s="81" t="s">
        <v>199</v>
      </c>
      <c r="B426" s="173" t="str">
        <f>IF(var_OPN&lt;&gt;"",IF(varHasHPS="Yes",IF($C$26="Yes",IF($B$222="Yes",IFERROR(VLOOKUP(tblCHKHPSTRACE[[#This Row],[Pin Name]],tblHPS_TRACE,4,FALSE),MSG!$B$10),MSG!$L$20),MSG!$J$12),MSG!$J$11),MSG!$J$10)</f>
        <v>HPS is not available in the selected device</v>
      </c>
      <c r="C426" s="90"/>
      <c r="D426" s="90"/>
      <c r="E426" s="173" t="str">
        <f>IF(var_OPN&lt;&gt;"",IF(varHasHPS="Yes",IF($C$26="Yes",IF($B$222="Yes",IFERROR(VLOOKUP(tblCHKHPSTRACE[[#This Row],[Pin Name]],tblHPS_TRACE,2,FALSE),MSG!$B$10),MSG!$L$20),MSG!$J$12),MSG!$J$11),MSG!$J$10)</f>
        <v>HPS is not available in the selected device</v>
      </c>
    </row>
    <row r="427" spans="1:5" ht="14" hidden="1" outlineLevel="2" thickBot="1">
      <c r="A427" s="81" t="s">
        <v>200</v>
      </c>
      <c r="B427" s="173" t="str">
        <f>IF(var_OPN&lt;&gt;"",IF(varHasHPS="Yes",IF($C$26="Yes",IF($B$222="Yes",IFERROR(VLOOKUP(tblCHKHPSTRACE[[#This Row],[Pin Name]],tblHPS_TRACE,4,FALSE),MSG!$B$10),MSG!$L$20),MSG!$J$12),MSG!$J$11),MSG!$J$10)</f>
        <v>HPS is not available in the selected device</v>
      </c>
      <c r="C427" s="90"/>
      <c r="D427" s="90"/>
      <c r="E427" s="173" t="str">
        <f>IF(var_OPN&lt;&gt;"",IF(varHasHPS="Yes",IF($C$26="Yes",IF($B$222="Yes",IFERROR(VLOOKUP(tblCHKHPSTRACE[[#This Row],[Pin Name]],tblHPS_TRACE,2,FALSE),MSG!$B$10),MSG!$L$20),MSG!$J$12),MSG!$J$11),MSG!$J$10)</f>
        <v>HPS is not available in the selected device</v>
      </c>
    </row>
    <row r="428" spans="1:5" ht="14" hidden="1" outlineLevel="2" thickBot="1">
      <c r="A428" s="81" t="s">
        <v>201</v>
      </c>
      <c r="B428" s="173" t="str">
        <f>IF(var_OPN&lt;&gt;"",IF(varHasHPS="Yes",IF($C$26="Yes",IF($B$222="Yes",IFERROR(VLOOKUP(tblCHKHPSTRACE[[#This Row],[Pin Name]],tblHPS_TRACE,4,FALSE),MSG!$B$10),MSG!$L$20),MSG!$J$12),MSG!$J$11),MSG!$J$10)</f>
        <v>HPS is not available in the selected device</v>
      </c>
      <c r="C428" s="90"/>
      <c r="D428" s="90"/>
      <c r="E428" s="173" t="str">
        <f>IF(var_OPN&lt;&gt;"",IF(varHasHPS="Yes",IF($C$26="Yes",IF($B$222="Yes",IFERROR(VLOOKUP(tblCHKHPSTRACE[[#This Row],[Pin Name]],tblHPS_TRACE,2,FALSE),MSG!$B$10),MSG!$L$20),MSG!$J$12),MSG!$J$11),MSG!$J$10)</f>
        <v>HPS is not available in the selected device</v>
      </c>
    </row>
    <row r="429" spans="1:5" ht="14" hidden="1" outlineLevel="2" collapsed="1" thickBot="1">
      <c r="A429" s="81" t="s">
        <v>202</v>
      </c>
      <c r="B429" s="173" t="str">
        <f>IF(var_OPN&lt;&gt;"",IF(varHasHPS="Yes",IF($C$26="Yes",IF($B$222="Yes",IFERROR(VLOOKUP(tblCHKHPSTRACE[[#This Row],[Pin Name]],tblHPS_TRACE,4,FALSE),MSG!$B$10),MSG!$L$20),MSG!$J$12),MSG!$J$11),MSG!$J$10)</f>
        <v>HPS is not available in the selected device</v>
      </c>
      <c r="C429" s="90"/>
      <c r="D429" s="90"/>
      <c r="E429" s="173" t="str">
        <f>IF(var_OPN&lt;&gt;"",IF(varHasHPS="Yes",IF($C$26="Yes",IF($B$222="Yes",IFERROR(VLOOKUP(tblCHKHPSTRACE[[#This Row],[Pin Name]],tblHPS_TRACE,2,FALSE),MSG!$B$10),MSG!$L$20),MSG!$J$12),MSG!$J$11),MSG!$J$10)</f>
        <v>HPS is not available in the selected device</v>
      </c>
    </row>
    <row r="430" spans="1:5" ht="14" hidden="1" outlineLevel="2" thickBot="1">
      <c r="A430" s="81" t="s">
        <v>203</v>
      </c>
      <c r="B430" s="173" t="str">
        <f>IF(var_OPN&lt;&gt;"",IF(varHasHPS="Yes",IF($C$26="Yes",IF($B$222="Yes",IFERROR(VLOOKUP(tblCHKHPSTRACE[[#This Row],[Pin Name]],tblHPS_TRACE,4,FALSE),MSG!$B$10),MSG!$L$20),MSG!$J$12),MSG!$J$11),MSG!$J$10)</f>
        <v>HPS is not available in the selected device</v>
      </c>
      <c r="C430" s="90"/>
      <c r="D430" s="90"/>
      <c r="E430" s="173" t="str">
        <f>IF(var_OPN&lt;&gt;"",IF(varHasHPS="Yes",IF($C$26="Yes",IF($B$222="Yes",IFERROR(VLOOKUP(tblCHKHPSTRACE[[#This Row],[Pin Name]],tblHPS_TRACE,2,FALSE),MSG!$B$10),MSG!$L$20),MSG!$J$12),MSG!$J$11),MSG!$J$10)</f>
        <v>HPS is not available in the selected device</v>
      </c>
    </row>
    <row r="431" spans="1:5" ht="14" hidden="1" outlineLevel="2" thickBot="1">
      <c r="A431" s="81" t="s">
        <v>204</v>
      </c>
      <c r="B431" s="173" t="str">
        <f>IF(var_OPN&lt;&gt;"",IF(varHasHPS="Yes",IF($C$26="Yes",IF($B$222="Yes",IFERROR(VLOOKUP(tblCHKHPSTRACE[[#This Row],[Pin Name]],tblHPS_TRACE,4,FALSE),MSG!$B$10),MSG!$L$20),MSG!$J$12),MSG!$J$11),MSG!$J$10)</f>
        <v>HPS is not available in the selected device</v>
      </c>
      <c r="C431" s="90"/>
      <c r="D431" s="90"/>
      <c r="E431" s="173" t="str">
        <f>IF(var_OPN&lt;&gt;"",IF(varHasHPS="Yes",IF($C$26="Yes",IF($B$222="Yes",IFERROR(VLOOKUP(tblCHKHPSTRACE[[#This Row],[Pin Name]],tblHPS_TRACE,2,FALSE),MSG!$B$10),MSG!$L$20),MSG!$J$12),MSG!$J$11),MSG!$J$10)</f>
        <v>HPS is not available in the selected device</v>
      </c>
    </row>
    <row r="432" spans="1:5" ht="14" hidden="1" outlineLevel="2" thickBot="1">
      <c r="A432" s="81" t="s">
        <v>205</v>
      </c>
      <c r="B432" s="173" t="str">
        <f>IF(var_OPN&lt;&gt;"",IF(varHasHPS="Yes",IF($C$26="Yes",IF($B$222="Yes",IFERROR(VLOOKUP(tblCHKHPSTRACE[[#This Row],[Pin Name]],tblHPS_TRACE,4,FALSE),MSG!$B$10),MSG!$L$20),MSG!$J$12),MSG!$J$11),MSG!$J$10)</f>
        <v>HPS is not available in the selected device</v>
      </c>
      <c r="C432" s="90"/>
      <c r="D432" s="90"/>
      <c r="E432" s="173" t="str">
        <f>IF(var_OPN&lt;&gt;"",IF(varHasHPS="Yes",IF($C$26="Yes",IF($B$222="Yes",IFERROR(VLOOKUP(tblCHKHPSTRACE[[#This Row],[Pin Name]],tblHPS_TRACE,2,FALSE),MSG!$B$10),MSG!$L$20),MSG!$J$12),MSG!$J$11),MSG!$J$10)</f>
        <v>HPS is not available in the selected device</v>
      </c>
    </row>
    <row r="433" spans="1:5" ht="14" hidden="1" outlineLevel="2" collapsed="1" thickBot="1">
      <c r="A433" s="81" t="s">
        <v>206</v>
      </c>
      <c r="B433" s="173" t="str">
        <f>IF(var_OPN&lt;&gt;"",IF(varHasHPS="Yes",IF($C$26="Yes",IF($B$222="Yes",IFERROR(VLOOKUP(tblCHKHPSTRACE[[#This Row],[Pin Name]],tblHPS_TRACE,4,FALSE),MSG!$B$10),MSG!$L$20),MSG!$J$12),MSG!$J$11),MSG!$J$10)</f>
        <v>HPS is not available in the selected device</v>
      </c>
      <c r="C433" s="90"/>
      <c r="D433" s="90"/>
      <c r="E433" s="173" t="str">
        <f>IF(var_OPN&lt;&gt;"",IF(varHasHPS="Yes",IF($C$26="Yes",IF($B$222="Yes",IFERROR(VLOOKUP(tblCHKHPSTRACE[[#This Row],[Pin Name]],tblHPS_TRACE,2,FALSE),MSG!$B$10),MSG!$L$20),MSG!$J$12),MSG!$J$11),MSG!$J$10)</f>
        <v>HPS is not available in the selected device</v>
      </c>
    </row>
    <row r="434" spans="1:5" outlineLevel="1" collapsed="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t="inlineStr">
        <is>
          <t>OK: NC pins are isolated on the schematic. Do not drive NC pins unless a documented migration case requires it.</t>
        </is>
      </c>
      <c r="D439" s="96" t="inlineStr">
        <is>
          <t>OK</t>
        </is>
      </c>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t="inlineStr">
        <is>
          <t>OK: DNU pins are isolated on the schematic and must remain floating; do not connect to power, GND, or signals.</t>
        </is>
      </c>
      <c r="D440" s="96" t="inlineStr">
        <is>
          <t>OK</t>
        </is>
      </c>
      <c r="E440" s="173" t="str">
        <f>IFERROR(VLOOKUP(tblCHKNC[[#This Row],[Pin Name]],tblDNUNC[],3,FALSE),MSG!$B$10)</f>
        <v>Do Not Use (DNU).</v>
      </c>
    </row>
    <row r="443" spans="1:5" collapsed="1">
      <c r="A443" s="82" t="s">
        <v>209</v>
      </c>
      <c r="B443" s="172"/>
      <c r="C443" s="82"/>
      <c r="D443" s="82"/>
      <c r="E443" s="172"/>
    </row>
    <row r="444" spans="1:5" ht="14.5" outlineLevel="1">
      <c r="A444" s="169" t="s">
        <v>1092</v>
      </c>
    </row>
    <row r="445" spans="1:5" ht="14.5" outlineLevel="1">
      <c r="A445" s="169" t="s">
        <v>1093</v>
      </c>
      <c r="C445" s="85"/>
      <c r="D445" s="85"/>
    </row>
    <row r="446" spans="1:5" ht="14.5" outlineLevel="1">
      <c r="A446" s="185" t="s">
        <v>1094</v>
      </c>
      <c r="C446" s="85"/>
      <c r="D446" s="85"/>
    </row>
    <row r="447" spans="1:5" ht="14.5" outlineLevel="1">
      <c r="A447" t="s">
        <v>1095</v>
      </c>
      <c r="C447" s="85"/>
      <c r="D447" s="85"/>
    </row>
    <row r="448" spans="1:5" ht="14.5" outlineLevel="1">
      <c r="A448" s="212" t="s">
        <v>1096</v>
      </c>
      <c r="C448" s="85"/>
      <c r="D448" s="85"/>
    </row>
    <row r="449" spans="1:4" ht="14.5" outlineLevel="1">
      <c r="A449" s="212" t="s">
        <v>1097</v>
      </c>
      <c r="C449" s="85"/>
      <c r="D449" s="85"/>
    </row>
    <row r="450" spans="1:4" ht="14.5" outlineLevel="1">
      <c r="A450" t="s">
        <v>1098</v>
      </c>
      <c r="C450" s="85"/>
      <c r="D450" s="85"/>
    </row>
    <row r="451" spans="1:4" ht="14.5" outlineLevel="1">
      <c r="A451" t="s">
        <v>1101</v>
      </c>
      <c r="C451" s="85"/>
      <c r="D451" s="85"/>
    </row>
    <row r="452" spans="1:4" ht="14.5" outlineLevel="1">
      <c r="A452" s="212" t="s">
        <v>1099</v>
      </c>
      <c r="C452" s="85"/>
      <c r="D452" s="85"/>
    </row>
    <row r="453" spans="1:4" ht="14.5" outlineLevel="1">
      <c r="A453" t="s">
        <v>1100</v>
      </c>
      <c r="C453" s="85"/>
      <c r="D453" s="85"/>
    </row>
    <row r="454" spans="1:4" outlineLevel="1">
      <c r="C454" s="85"/>
      <c r="D454" s="85"/>
    </row>
    <row r="455" spans="1:4" ht="14.5">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G2Nud6gTTuM0ZCJmH8Scdw/lyGtnuLt5TDlxdiSPp5peb360IiV4wrs2wXTD7M3hVvQF2SFccAlm/bYA7kBjPA==" saltValue="dwB3qIMHOS8nPPDGMmpaBA=="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ns2:uid="{908176B3-DF1C-4A7E-AD96-3DC2B4F6A08F}">
      <formula1>"Yes,No"</formula1>
    </dataValidation>
    <dataValidation type="list" allowBlank="1" showInputMessage="1" showErrorMessage="1" sqref="C20" ns2:uid="{8668D0B2-A7F8-417E-A079-8353B6F453CC}">
      <formula1>"None,Voltage,Temperature,Both Voltage and Temperature"</formula1>
    </dataValidation>
    <dataValidation showInputMessage="1" showErrorMessage="1" sqref="B27" ns2: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ns2:uid="{54170593-CF9C-49B3-8A9F-E2AD10A5174E}">
      <formula1>INDIRECT($C$18)</formula1>
    </dataValidation>
    <dataValidation type="list" allowBlank="1" showInputMessage="1" showErrorMessage="1" sqref="B33" ns2: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61:D65 D35:D57 D376:D381" ns2:uid="{2861A2C0-DCAB-4C1A-B725-5A7FBA299B64}">
      <formula1>lstStatus</formula1>
    </dataValidation>
    <dataValidation allowBlank="1" showErrorMessage="1" promptTitle="Notification" prompt="PWRMGT_SCL and PWRMGT_SDA output pin MUSB be both confgiured together." sqref="B80" ns2:uid="{0DE22B5B-3BA0-4F3C-BCF7-2C4130FAC03F}"/>
    <dataValidation type="list" allowBlank="1" showInputMessage="1" showErrorMessage="1" promptTitle="Hint" prompt="This pin is for catastrophic trip due to over temperature." sqref="B79" ns2: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ns2: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ns2:uid="{E4589F5A-7F16-4B96-A0A1-02369A4023E7}">
      <formula1>_xlfn.ANCHORARRAY(INDIRECT(VLOOKUP($A74,vltSDMIO,2,FALSE)))</formula1>
    </dataValidation>
    <dataValidation type="list" allowBlank="1" showInputMessage="1" showErrorMessage="1" promptTitle="Hint" prompt="Use this pin if you are using CvP feature." sqref="B75" ns2:uid="{EA7B4604-D659-49D5-9F54-9B4FD43F903D}">
      <formula1>_xlfn.ANCHORARRAY(INDIRECT(VLOOKUP($A75,vltSDMIO,2,FALSE)))</formula1>
    </dataValidation>
    <dataValidation type="list" allowBlank="1" showInputMessage="1" showErrorMessage="1" promptTitle="Hint" prompt="Use this pin if you want to flag a SEU error." sqref="B76" ns2:uid="{A30B0BB2-D45D-4F10-8AFD-0277E13BCAD9}">
      <formula1>_xlfn.ANCHORARRAY(INDIRECT(VLOOKUP($A76,vltSDMIO,2,FALSE)))</formula1>
    </dataValidation>
    <dataValidation type="list" allowBlank="1" showInputMessage="1" showErrorMessage="1" promptTitle="Hint" prompt="Use this pin if you want to cold reset HPS." sqref="B77" ns2: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ns2:uid="{875CA1E9-F2C0-41D7-AE5D-D3ED67F47146}">
      <formula1>_xlfn.ANCHORARRAY(INDIRECT(VLOOKUP($A78,vltSDMIO,2,FALSE)))</formula1>
    </dataValidation>
  </dataValidations>
  <hyperlinks>
    <hyperlink ref="A445" r:id="rId1" ns2:uid="{1207020F-AD10-40BB-9723-2E57F5FEF53C}"/>
    <hyperlink ref="A444" r:id="rId2" ns2:uid="{B37D791A-49B1-4DCC-BDCE-26892EF6FAFE}"/>
    <hyperlink ref="A446" r:id="rId3" ns2:uid="{2D86875C-8548-428B-87B1-E94C21683AC0}"/>
    <hyperlink ref="A448" r:id="rId4" ns2:uid="{B3FAD10B-A810-43A4-ADD9-D52846AB42AF}"/>
    <hyperlink ref="A449" r:id="rId5" ns2:uid="{139A68A2-2BD3-4A81-8329-5D41A5301F5D}"/>
    <hyperlink ref="A452" r:id="rId6" ns2:uid="{50C81332-68BA-455E-833B-BC0095BFB42A}"/>
  </hyperlinks>
  <pageMargins left="0.7" right="0.7" top="0.75" bottom="0.75" header="0.3" footer="0.3"/>
  <pageSetup orientation="portrait" r:id="rId7"/>
  <ignoredErrors>
    <ignoredError sqref="E105 E94:E95" calculatedColumn="1"/>
  </ignoredErrors>
  <drawing r:id="rId8"/>
  <legacyDrawing r:id="rId9"/>
  <controls>
    <ns1:AlternateContent>
      <ns1:Choice Requires="x14">
        <control shapeId="4103" r:id="rId10" name="CommandButton1">
          <controlPr locked="0" defaultSize="0" autoFill="0" autoLine="0" altText="" r:id="rId11">
            <anchor moveWithCells="1">
              <from>
                <ns4:col>4</ns4:col>
                <ns4:colOff>247650</ns4:colOff>
                <ns4:row>22</ns4:row>
                <ns4:rowOff>19050</ns4:rowOff>
              </from>
              <to>
                <ns4:col>4</ns4:col>
                <ns4:colOff>2609850</ns4:colOff>
                <ns4:row>24</ns4:row>
                <ns4:rowOff>31750</ns4:rowOff>
              </to>
            </anchor>
          </controlPr>
        </control>
      </ns1:Choice>
      <ns1:Fallback>
        <control shapeId="4103" r:id="rId10" name="CommandButton1"/>
      </ns1:Fallback>
    </ns1:AlternateContent>
    <ns1:AlternateContent>
      <ns1:Choice Requires="x14">
        <control shapeId="4105" r:id="rId12" name="CommandButton2">
          <controlPr locked="0" defaultSize="0" autoFill="0" autoLine="0" altText="" r:id="rId13">
            <anchor moveWithCells="1">
              <from>
                <ns4:col>4</ns4:col>
                <ns4:colOff>2889250</ns4:colOff>
                <ns4:row>22</ns4:row>
                <ns4:rowOff>19050</ns4:rowOff>
              </from>
              <to>
                <ns4:col>5</ns4:col>
                <ns4:colOff>1155700</ns4:colOff>
                <ns4:row>24</ns4:row>
                <ns4:rowOff>31750</ns4:rowOff>
              </to>
            </anchor>
          </controlPr>
        </control>
      </ns1:Choice>
      <ns1:Fallback>
        <control shapeId="4105" r:id="rId12" name="CommandButton2"/>
      </ns1:Fallback>
    </ns1:AlternateContent>
    <ns1:AlternateContent>
      <ns1:Choice Requires="x14">
        <control shapeId="4106" r:id="rId14" name="CommandButton3">
          <controlPr locked="0" defaultSize="0" autoFill="0" autoLine="0" altText="" r:id="rId15">
            <anchor moveWithCells="1">
              <from>
                <ns4:col>4</ns4:col>
                <ns4:colOff>260350</ns4:colOff>
                <ns4:row>24</ns4:row>
                <ns4:rowOff>69850</ns4:rowOff>
              </from>
              <to>
                <ns4:col>5</ns4:col>
                <ns4:colOff>1143000</ns4:colOff>
                <ns4:row>26</ns4:row>
                <ns4:rowOff>95250</ns4:rowOff>
              </to>
            </anchor>
          </controlPr>
        </control>
      </ns1:Choice>
      <ns1:Fallback>
        <control shapeId="4106" r:id="rId14" name="CommandButton3"/>
      </ns1:Fallback>
    </ns1: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uri="{78C0D931-6437-407d-A8EE-F0AAD7539E65}">
      <ns5:conditionalFormattings>
        <ns5:conditionalFormatting>
          <ns5:cfRule type="cellIs" priority="219" operator="equal" id="{15577037-D58F-45BE-9707-32F2DBBF3B99}">
            <ns6:f>MSG!$D$71</ns6:f>
            <ns5:dxf>
              <fill>
                <patternFill>
                  <bgColor rgb="FFFEC91B"/>
                </patternFill>
              </fill>
            </ns5:dxf>
          </ns5:cfRule>
          <ns5:cfRule type="cellIs" priority="220" operator="equal" id="{91B565BE-5C2E-4795-AAA7-6AC341861CC7}">
            <ns6:f>MSG!$D$70</ns6:f>
            <ns5:dxf>
              <font>
                <b/>
                <i val="0"/>
                <color auto="1"/>
              </font>
              <fill>
                <patternFill patternType="solid">
                  <bgColor rgb="FF8BAE46"/>
                </patternFill>
              </fill>
            </ns5:dxf>
          </ns5:cfRule>
          <ns6:sqref>C32</ns6:sqref>
        </ns5:conditionalFormatting>
        <ns5:conditionalFormatting>
          <ns5:cfRule type="containsText" priority="29" operator="containsText" id="{EBB8AB52-3B47-4815-8E2A-DD3273ECD6E6}">
            <ns6:f>NOT(ISERROR(SEARCH($F$18,C1)))</ns6:f>
            <ns6:f>$F$18</ns6:f>
            <ns5:dxf>
              <fill>
                <patternFill>
                  <bgColor rgb="FFFFC000"/>
                </patternFill>
              </fill>
            </ns5:dxf>
          </ns5:cfRule>
          <ns5:cfRule type="containsText" priority="418" operator="containsText" id="{983A272F-2304-48B8-9681-1F1363C2A056}">
            <ns6:f>NOT(ISERROR(SEARCH($F$21,C1)))</ns6:f>
            <ns6:f>$F$21</ns6:f>
            <ns5:dxf>
              <fill>
                <patternFill>
                  <bgColor theme="0" tint="-0.34998626667073579"/>
                </patternFill>
              </fill>
            </ns5:dxf>
          </ns5:cfRule>
          <ns5:cfRule type="containsText" priority="419" operator="containsText" id="{47B2E799-20D0-4669-AB69-CEA95881641D}">
            <ns6:f>NOT(ISERROR(SEARCH($F$20,C1)))</ns6:f>
            <ns6:f>$F$20</ns6:f>
            <ns5:dxf>
              <fill>
                <patternFill>
                  <bgColor theme="0" tint="-0.34998626667073579"/>
                </patternFill>
              </fill>
            </ns5:dxf>
          </ns5:cfRule>
          <ns5:cfRule type="containsText" priority="420" operator="containsText" id="{1066201B-F09B-41DD-99E0-E83254B1AD38}">
            <ns6:f>NOT(ISERROR(SEARCH($F$19,C1)))</ns6:f>
            <ns6:f>$F$19</ns6:f>
            <ns5:dxf>
              <fill>
                <patternFill>
                  <bgColor rgb="FFFFC000"/>
                </patternFill>
              </fill>
            </ns5:dxf>
          </ns5:cfRule>
          <ns5:cfRule type="containsText" priority="421" operator="containsText" id="{43BF38A3-7A13-4B61-ABCA-154A82610B3E}">
            <ns6:f>NOT(ISERROR(SEARCH($F$17,C1)))</ns6:f>
            <ns6:f>$F$17</ns6:f>
            <ns5:dxf>
              <fill>
                <patternFill>
                  <bgColor rgb="FFC00000"/>
                </patternFill>
              </fill>
            </ns5:dxf>
          </ns5:cfRule>
          <ns5:cfRule type="containsText" priority="422" operator="containsText" id="{B781288D-9089-4BE9-8D41-7B5D0755CC73}">
            <ns6:f>NOT(ISERROR(SEARCH($F$16,C1)))</ns6:f>
            <ns6:f>$F$16</ns6:f>
            <ns5:dxf>
              <fill>
                <patternFill>
                  <bgColor rgb="FF92D050"/>
                </patternFill>
              </fill>
            </ns5:dxf>
          </ns5:cfRule>
          <ns6: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ns6:sqref>
        </ns5:conditionalFormatting>
        <ns5:conditionalFormatting>
          <ns5:cfRule type="containsText" priority="17" operator="containsText" id="{319CDF9A-6739-4678-9046-CCCF296D2C0C}">
            <ns6:f>NOT(ISERROR(SEARCH($F$18,E75)))</ns6:f>
            <ns6:f>$F$18</ns6:f>
            <ns5:dxf>
              <fill>
                <patternFill>
                  <bgColor rgb="FFFFC000"/>
                </patternFill>
              </fill>
            </ns5:dxf>
          </ns5:cfRule>
          <ns5:cfRule type="containsText" priority="18" operator="containsText" id="{B35464B9-BCBF-44D7-906F-C2B8D1EC69B9}">
            <ns6:f>NOT(ISERROR(SEARCH($F$21,E75)))</ns6:f>
            <ns6:f>$F$21</ns6:f>
            <ns5:dxf>
              <fill>
                <patternFill>
                  <bgColor theme="0" tint="-0.34998626667073579"/>
                </patternFill>
              </fill>
            </ns5:dxf>
          </ns5:cfRule>
          <ns5:cfRule type="containsText" priority="19" operator="containsText" id="{3864E95D-06B7-434E-B72B-8E39D165EA7D}">
            <ns6:f>NOT(ISERROR(SEARCH($F$20,E75)))</ns6:f>
            <ns6:f>$F$20</ns6:f>
            <ns5:dxf>
              <fill>
                <patternFill>
                  <bgColor theme="0" tint="-0.34998626667073579"/>
                </patternFill>
              </fill>
            </ns5:dxf>
          </ns5:cfRule>
          <ns5:cfRule type="containsText" priority="20" operator="containsText" id="{D0AE3A2B-1FD7-436C-A454-4BD182F27E71}">
            <ns6:f>NOT(ISERROR(SEARCH($F$19,E75)))</ns6:f>
            <ns6:f>$F$19</ns6:f>
            <ns5:dxf>
              <fill>
                <patternFill>
                  <bgColor rgb="FFFFC000"/>
                </patternFill>
              </fill>
            </ns5:dxf>
          </ns5:cfRule>
          <ns5:cfRule type="containsText" priority="21" operator="containsText" id="{6511417E-C651-411E-ABE8-9B7839D15EC5}">
            <ns6:f>NOT(ISERROR(SEARCH($F$17,E75)))</ns6:f>
            <ns6:f>$F$17</ns6:f>
            <ns5:dxf>
              <fill>
                <patternFill>
                  <bgColor rgb="FFC00000"/>
                </patternFill>
              </fill>
            </ns5:dxf>
          </ns5:cfRule>
          <ns5:cfRule type="containsText" priority="22" operator="containsText" id="{70F6FE5C-A506-4944-BFB5-0A5AEB370CF1}">
            <ns6:f>NOT(ISERROR(SEARCH($F$16,E75)))</ns6:f>
            <ns6:f>$F$16</ns6:f>
            <ns5:dxf>
              <fill>
                <patternFill>
                  <bgColor rgb="FF92D050"/>
                </patternFill>
              </fill>
            </ns5:dxf>
          </ns5:cfRule>
          <ns6:sqref>E75</ns6:sqref>
        </ns5:conditionalFormatting>
      </ns5:conditionalFormattings>
    </ext>
    <ext uri="{CCE6A557-97BC-4b89-ADB6-D9C93CAAB3DF}">
      <ns5:dataValidations count="1">
        <ns5:dataValidation type="list" allowBlank="1" showInputMessage="1" showErrorMessage="1" ns2:uid="{FBEB058C-451C-451B-8580-1D6C6E293A47}">
          <ns5:formula1>
            <ns6:f>SDMIO_ref!$K$3:$M$3</ns6:f>
          </ns5:formula1>
          <ns6:sqref>C18</ns6:sqref>
        </ns5:dataValidation>
      </ns5: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7265625" defaultRowHeight="13.5"/>
  <cols>
    <col min="1" max="1" width="11.26953125" style="69" customWidth="1"/>
    <col min="2" max="2" width="94.26953125" style="69" customWidth="1"/>
    <col min="3" max="3" width="21.7265625" style="69" customWidth="1"/>
    <col min="4" max="16384" width="8.7265625" style="69"/>
  </cols>
  <sheetData>
    <row r="1" spans="1:3" ht="58.15" customHeight="1">
      <c r="A1" s="71"/>
      <c r="B1" s="264" t="s">
        <v>922</v>
      </c>
      <c r="C1" s="264"/>
    </row>
    <row r="3" spans="1:3" ht="20.149999999999999" customHeight="1">
      <c r="A3" s="79" t="s">
        <v>869</v>
      </c>
      <c r="B3" s="79" t="s">
        <v>740</v>
      </c>
      <c r="C3" s="79" t="s">
        <v>0</v>
      </c>
    </row>
    <row r="4" spans="1:3" ht="20.149999999999999" customHeight="1">
      <c r="A4" s="203">
        <v>1.1000000000000001</v>
      </c>
      <c r="B4" s="204" t="s">
        <v>1497</v>
      </c>
      <c r="C4" s="205" t="s">
        <v>1498</v>
      </c>
    </row>
    <row r="5" spans="1:3" ht="16.149999999999999" customHeight="1">
      <c r="A5" s="209">
        <v>1</v>
      </c>
      <c r="B5" s="210" t="s">
        <v>870</v>
      </c>
      <c r="C5" s="211" t="s">
        <v>1499</v>
      </c>
    </row>
    <row r="6" spans="1:3">
      <c r="A6" s="206"/>
      <c r="B6" s="207"/>
      <c r="C6" s="208"/>
    </row>
    <row r="7" spans="1:3" ht="169.5" customHeight="1">
      <c r="B7" s="265" t="s">
        <v>1506</v>
      </c>
      <c r="C7" s="265"/>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81640625" defaultRowHeight="14.5"/>
  <cols>
    <col min="1" max="1" width="20.7265625" bestFit="1" customWidth="1"/>
    <col min="2" max="2" width="12.26953125" customWidth="1"/>
    <col min="3" max="3" width="29.7265625" customWidth="1"/>
    <col min="4" max="4" width="46.1796875" bestFit="1" customWidth="1"/>
    <col min="5" max="5" width="19.7265625" customWidth="1"/>
    <col min="6" max="6" width="14.7265625" customWidth="1"/>
    <col min="7" max="7" width="20.26953125" customWidth="1"/>
    <col min="8" max="8" width="13.54296875" customWidth="1"/>
    <col min="9" max="9" width="18.26953125" bestFit="1" customWidth="1"/>
    <col min="10" max="10" width="15.7265625" customWidth="1"/>
    <col min="11" max="11" width="19.26953125" customWidth="1"/>
    <col min="12" max="12" width="13.7265625" customWidth="1"/>
    <col min="13" max="13" width="9.26953125" customWidth="1"/>
    <col min="14" max="14" width="23.54296875" customWidth="1"/>
    <col min="15" max="15" width="13.453125" customWidth="1"/>
    <col min="16" max="16" width="24.7265625" customWidth="1"/>
    <col min="18" max="18" width="21.26953125" customWidth="1"/>
    <col min="20" max="20" width="12" customWidth="1"/>
    <col min="21" max="21" width="15.26953125" customWidth="1"/>
    <col min="22" max="22" width="24.26953125" customWidth="1"/>
    <col min="23" max="23" width="12.7265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81640625" defaultRowHeight="14.5"/>
  <cols>
    <col min="1" max="1" width="10.7265625" bestFit="1" customWidth="1"/>
    <col min="2" max="2" width="22.26953125" bestFit="1" customWidth="1"/>
    <col min="3" max="3" width="9.7265625" bestFit="1" customWidth="1"/>
    <col min="4" max="4" width="39.1796875" bestFit="1" customWidth="1"/>
    <col min="5" max="5" width="46.453125" bestFit="1" customWidth="1"/>
    <col min="6" max="6" width="42.17968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81640625" defaultRowHeight="14.5"/>
  <cols>
    <col min="1" max="1" width="10.7265625" bestFit="1" customWidth="1"/>
    <col min="2" max="2" width="22.2695312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7265625" defaultRowHeight="30" customHeight="1"/>
  <cols>
    <col min="1" max="1" width="44.7265625" style="4" customWidth="1"/>
    <col min="2" max="2" width="84.453125" style="4" bestFit="1" customWidth="1"/>
    <col min="3" max="3" width="68.54296875" style="4" bestFit="1" customWidth="1"/>
    <col min="4" max="4" width="14.7265625" style="4" customWidth="1"/>
    <col min="5" max="7" width="11.453125" style="4" customWidth="1"/>
    <col min="8" max="8" width="8.7265625" style="4"/>
    <col min="9" max="10" width="11.453125" style="4" customWidth="1"/>
    <col min="11" max="12" width="12.453125" style="4" customWidth="1"/>
    <col min="13" max="13" width="11.453125" style="4" customWidth="1"/>
    <col min="14" max="14" width="10.54296875" style="4" customWidth="1"/>
    <col min="15" max="15" width="11.7265625" style="4" customWidth="1"/>
    <col min="16" max="16" width="11.26953125" style="4" customWidth="1"/>
    <col min="17" max="17" width="12.453125" style="4" customWidth="1"/>
    <col min="18" max="18" width="11.7265625" style="4" customWidth="1"/>
    <col min="19" max="19" width="11.26953125" style="4" customWidth="1"/>
    <col min="20" max="21" width="8.7265625" style="4"/>
    <col min="22" max="22" width="16.26953125" style="4" customWidth="1"/>
    <col min="23" max="23" width="11.26953125" style="4" customWidth="1"/>
    <col min="24" max="37" width="8.7265625" style="4"/>
    <col min="38" max="38" width="11.453125" style="4" customWidth="1"/>
    <col min="39" max="39" width="12.54296875" style="4" customWidth="1"/>
    <col min="40" max="40" width="10.7265625" style="4" customWidth="1"/>
    <col min="41" max="16384" width="8.7265625" style="4"/>
  </cols>
  <sheetData>
    <row r="1" spans="1:8" ht="30" customHeight="1">
      <c r="A1" s="266" t="s">
        <v>243</v>
      </c>
      <c r="B1" s="266"/>
      <c r="C1" s="266"/>
      <c r="D1" s="266"/>
      <c r="E1" s="266"/>
      <c r="F1" s="266"/>
      <c r="G1" s="266"/>
      <c r="H1" s="266"/>
    </row>
    <row r="2" spans="1:8" ht="30" customHeight="1">
      <c r="A2" s="29" t="str">
        <f>DevSel!$D$23</f>
        <v>A3CY135BM16AE6S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6" t="s">
        <v>248</v>
      </c>
      <c r="B7" s="266"/>
      <c r="C7" s="266"/>
      <c r="D7" s="266"/>
      <c r="E7" s="266"/>
      <c r="F7" s="266"/>
      <c r="G7" s="266"/>
      <c r="H7" s="266"/>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6" t="s">
        <v>251</v>
      </c>
      <c r="B26" s="266"/>
      <c r="C26" s="266"/>
      <c r="D26" s="266"/>
      <c r="E26" s="266"/>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7265625" style="4" bestFit="1" customWidth="1"/>
    <col min="3" max="3" width="91.54296875" style="4" bestFit="1" customWidth="1"/>
    <col min="4" max="4" width="255.7265625" style="4" customWidth="1"/>
    <col min="6" max="6" width="19.54296875" style="4" bestFit="1" customWidth="1"/>
    <col min="8" max="8" width="11.7265625" style="4" bestFit="1" customWidth="1"/>
    <col min="9" max="9" width="30.54296875" style="4"/>
    <col min="10" max="10" width="42.7265625" style="4" customWidth="1"/>
    <col min="11" max="11" width="12.7265625" style="4" bestFit="1" customWidth="1"/>
    <col min="12" max="12" width="21.7265625" style="4" bestFit="1" customWidth="1"/>
    <col min="13" max="13" width="29.7265625" style="4" bestFit="1" customWidth="1"/>
    <col min="14" max="14" width="6.26953125" style="4" bestFit="1" customWidth="1"/>
    <col min="15" max="15" width="16.1796875" style="4" customWidth="1"/>
    <col min="16" max="16" width="19.1796875" style="4" customWidth="1"/>
    <col min="17" max="16384" width="30.54296875" style="4"/>
  </cols>
  <sheetData>
    <row r="1" spans="1:24" ht="14">
      <c r="A1" s="23" t="s">
        <v>30</v>
      </c>
      <c r="B1" s="25" t="s">
        <v>255</v>
      </c>
      <c r="C1" s="24" t="s">
        <v>254</v>
      </c>
      <c r="D1" s="24" t="s">
        <v>31</v>
      </c>
      <c r="E1" s="25" t="s">
        <v>35</v>
      </c>
      <c r="F1" s="26" t="s">
        <v>256</v>
      </c>
      <c r="G1" s="4"/>
      <c r="I1" s="266" t="s">
        <v>699</v>
      </c>
      <c r="J1" s="266"/>
      <c r="K1" s="266"/>
      <c r="L1" s="266"/>
      <c r="M1" s="266"/>
      <c r="N1" s="266"/>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26953125" defaultRowHeight="14.5"/>
  <cols>
    <col min="1" max="1" width="27.7265625" customWidth="1"/>
    <col min="2" max="2" width="10.54296875" bestFit="1" customWidth="1"/>
    <col min="3" max="4" width="84" customWidth="1"/>
    <col min="10" max="10" width="17.7265625" bestFit="1" customWidth="1"/>
    <col min="11" max="11" width="10" bestFit="1" customWidth="1"/>
    <col min="14" max="14" width="16.2695312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4"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26953125" defaultRowHeight="14.5"/>
  <cols>
    <col min="1" max="1" width="29.26953125" style="4" customWidth="1"/>
    <col min="2" max="2" width="46.54296875" style="4" customWidth="1"/>
    <col min="3" max="3" width="132" style="4" customWidth="1"/>
    <col min="5" max="6" width="9.26953125" style="4"/>
    <col min="7" max="7" width="10.26953125" style="4" bestFit="1" customWidth="1"/>
    <col min="8" max="8" width="22" style="4" bestFit="1" customWidth="1"/>
    <col min="9" max="9" width="21.26953125" style="4" bestFit="1" customWidth="1"/>
    <col min="10" max="10" width="21" style="4" bestFit="1" customWidth="1"/>
    <col min="11" max="11" width="21.26953125" style="4" bestFit="1" customWidth="1"/>
    <col min="12" max="12" width="19" style="4" bestFit="1" customWidth="1"/>
    <col min="13" max="14" width="20.26953125" style="4" bestFit="1" customWidth="1"/>
    <col min="15" max="16384" width="9.2695312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26953125" defaultRowHeight="14"/>
  <cols>
    <col min="1" max="2" width="9.26953125" style="4"/>
    <col min="3" max="3" width="12.453125" style="4" customWidth="1"/>
    <col min="4" max="4" width="20.26953125" style="4" bestFit="1" customWidth="1"/>
    <col min="5" max="10" width="21" style="4" customWidth="1"/>
    <col min="11" max="17" width="22.54296875" style="4" customWidth="1"/>
    <col min="18" max="19" width="8.7265625" style="4" bestFit="1" customWidth="1"/>
    <col min="20" max="22" width="9.7265625" style="4" bestFit="1" customWidth="1"/>
    <col min="23" max="23" width="7" style="4" bestFit="1" customWidth="1"/>
    <col min="24" max="24" width="8.7265625" style="4" bestFit="1" customWidth="1"/>
    <col min="25" max="34" width="12.26953125" style="4" customWidth="1"/>
    <col min="35" max="36" width="9.7265625" style="4" bestFit="1" customWidth="1"/>
    <col min="37" max="16384" width="9.2695312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81640625" defaultRowHeight="14.5"/>
  <cols>
    <col min="3" max="3" width="30.26953125" customWidth="1"/>
    <col min="4" max="4" width="20.26953125" bestFit="1" customWidth="1"/>
    <col min="5" max="5" width="14.54296875" customWidth="1"/>
    <col min="6" max="6" width="23.8164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7265625" defaultRowHeight="13.5"/>
  <cols>
    <col min="1" max="1" width="43" style="59" customWidth="1"/>
    <col min="2" max="2" width="19.453125" style="59" bestFit="1" customWidth="1"/>
    <col min="3" max="3" width="81.26953125" style="59" customWidth="1"/>
    <col min="4" max="4" width="71.54296875" style="59" customWidth="1"/>
    <col min="5" max="16384" width="8.7265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7265625" defaultRowHeight="14"/>
  <cols>
    <col min="1" max="1" width="38.26953125" style="53" customWidth="1"/>
    <col min="2" max="2" width="79" style="53" customWidth="1"/>
    <col min="3" max="3" width="116.7265625" style="53" customWidth="1"/>
    <col min="4" max="4" width="124" style="53" customWidth="1"/>
    <col min="5" max="16384" width="8.7265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7265625" defaultRowHeight="14"/>
  <cols>
    <col min="1" max="1" width="19.54296875" style="4" bestFit="1" customWidth="1"/>
    <col min="2" max="2" width="106.26953125" style="4" customWidth="1"/>
    <col min="3" max="3" width="81.7265625" style="4" customWidth="1"/>
    <col min="4" max="4" width="72.26953125" style="4" customWidth="1"/>
    <col min="5" max="16384" width="8.7265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7265625" defaultRowHeight="14.5"/>
  <cols>
    <col min="1" max="1" width="65.453125" style="11" bestFit="1" customWidth="1"/>
    <col min="2" max="2" width="63" style="11" bestFit="1" customWidth="1"/>
    <col min="3" max="3" width="68.1796875" customWidth="1"/>
    <col min="4" max="4" width="91.54296875" style="11" bestFit="1" customWidth="1"/>
    <col min="6" max="6" width="45.54296875" style="11" customWidth="1"/>
    <col min="7" max="16384" width="8.7265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29">
      <c r="A14" s="187" t="s">
        <v>1016</v>
      </c>
      <c r="B14" s="187" t="s">
        <v>498</v>
      </c>
      <c r="C14" s="187" t="s">
        <v>604</v>
      </c>
      <c r="D14" s="187" t="s">
        <v>830</v>
      </c>
      <c r="E14" s="11"/>
    </row>
    <row r="15" spans="1:5" ht="29">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7265625" defaultRowHeight="18" customHeight="1"/>
  <cols>
    <col min="1" max="1" width="11.26953125" style="4" bestFit="1" customWidth="1"/>
    <col min="2" max="2" width="24.7265625" style="4" bestFit="1" customWidth="1"/>
    <col min="3" max="3" width="19.7265625" style="4" customWidth="1"/>
    <col min="4" max="4" width="13.54296875" style="4" customWidth="1"/>
    <col min="5" max="5" width="12.7265625" style="4" customWidth="1"/>
    <col min="6" max="7" width="8.7265625" style="4"/>
    <col min="8" max="8" width="88.7265625" style="4" bestFit="1" customWidth="1"/>
    <col min="9" max="9" width="255.7265625" style="4" bestFit="1" customWidth="1"/>
    <col min="10" max="10" width="19" style="4" customWidth="1"/>
    <col min="11" max="16384" width="8.7265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7265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7265625" defaultRowHeight="13.5"/>
  <cols>
    <col min="1" max="1" width="28.7265625" style="63" customWidth="1"/>
    <col min="2" max="2" width="114.1796875" style="63" customWidth="1"/>
    <col min="3" max="3" width="125.26953125" style="63" customWidth="1"/>
    <col min="4" max="4" width="129.54296875" style="63" bestFit="1" customWidth="1"/>
    <col min="5" max="5" width="170" style="63" customWidth="1"/>
    <col min="6" max="16384" width="8.7265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7265625" defaultRowHeight="13.5"/>
  <cols>
    <col min="1" max="1" width="11.26953125" style="61" bestFit="1" customWidth="1"/>
    <col min="2" max="2" width="12.453125" style="61" bestFit="1" customWidth="1"/>
    <col min="3" max="3" width="49.7265625" style="61" customWidth="1"/>
    <col min="4" max="4" width="72.26953125" style="61" customWidth="1"/>
    <col min="5" max="16384" width="8.7265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7265625" defaultRowHeight="14.5"/>
  <cols>
    <col min="1" max="1" width="27.54296875" customWidth="1"/>
    <col min="2" max="2" width="31" bestFit="1" customWidth="1"/>
    <col min="3" max="3" width="15.26953125" customWidth="1"/>
    <col min="4" max="4" width="41.26953125" bestFit="1" customWidth="1"/>
    <col min="5" max="5" width="86.7265625" bestFit="1" customWidth="1"/>
    <col min="6" max="6" width="7.26953125" bestFit="1" customWidth="1"/>
    <col min="7" max="7" width="31.7265625" bestFit="1" customWidth="1"/>
    <col min="8" max="8" width="40.7265625" bestFit="1" customWidth="1"/>
    <col min="9" max="9" width="19.26953125" bestFit="1" customWidth="1"/>
    <col min="10" max="10" width="39" bestFit="1" customWidth="1"/>
    <col min="11" max="11" width="8.54296875" bestFit="1" customWidth="1"/>
    <col min="12" max="12" width="20" bestFit="1" customWidth="1"/>
    <col min="13" max="13" width="38.2695312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2.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DD1487-863C-4F01-829C-F9D186BC51E8}">
  <ds:schemaRefs>
    <ds:schemaRef ds:uri="http://schemas.microsoft.com/DataMashup"/>
  </ds:schemaRefs>
</ds:datastoreItem>
</file>

<file path=customXml/itemProps4.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Patni, Sahil</cp:lastModifiedBy>
  <cp:revision/>
  <dcterms:created xsi:type="dcterms:W3CDTF">2015-06-05T18:17:20Z</dcterms:created>
  <dcterms:modified xsi:type="dcterms:W3CDTF">2026-07-08T08:56:52Z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y fmtid="{D5CDD505-2E9C-101B-9397-08002B2CF9AE}" pid="11" name="MSIP_Label_879e395e-e3b5-421f-8616-70a10f9451af_Enabled">
    <vt:lpwstr>true</vt:lpwstr>
  </property>
  <property fmtid="{D5CDD505-2E9C-101B-9397-08002B2CF9AE}" pid="12" name="MSIP_Label_879e395e-e3b5-421f-8616-70a10f9451af_SetDate">
    <vt:lpwstr>2026-06-18T06:57:24Z</vt:lpwstr>
  </property>
  <property fmtid="{D5CDD505-2E9C-101B-9397-08002B2CF9AE}" pid="13" name="MSIP_Label_879e395e-e3b5-421f-8616-70a10f9451af_Method">
    <vt:lpwstr>Standard</vt:lpwstr>
  </property>
  <property fmtid="{D5CDD505-2E9C-101B-9397-08002B2CF9AE}" pid="14" name="MSIP_Label_879e395e-e3b5-421f-8616-70a10f9451af_Name">
    <vt:lpwstr>879e395e-e3b5-421f-8616-70a10f9451af</vt:lpwstr>
  </property>
  <property fmtid="{D5CDD505-2E9C-101B-9397-08002B2CF9AE}" pid="15" name="MSIP_Label_879e395e-e3b5-421f-8616-70a10f9451af_SiteId">
    <vt:lpwstr>0beb0c35-9cbb-4feb-99e5-589e415c7944</vt:lpwstr>
  </property>
  <property fmtid="{D5CDD505-2E9C-101B-9397-08002B2CF9AE}" pid="16" name="MSIP_Label_879e395e-e3b5-421f-8616-70a10f9451af_ActionId">
    <vt:lpwstr>8503cefb-3af1-442a-abf1-adc1cdb04fb5</vt:lpwstr>
  </property>
  <property fmtid="{D5CDD505-2E9C-101B-9397-08002B2CF9AE}" pid="17" name="MSIP_Label_879e395e-e3b5-421f-8616-70a10f9451af_ContentBits">
    <vt:lpwstr>0</vt:lpwstr>
  </property>
  <property fmtid="{D5CDD505-2E9C-101B-9397-08002B2CF9AE}" pid="18" name="MSIP_Label_879e395e-e3b5-421f-8616-70a10f9451af_Tag">
    <vt:lpwstr>10, 3, 0, 1</vt:lpwstr>
  </property>
</Properties>
</file>