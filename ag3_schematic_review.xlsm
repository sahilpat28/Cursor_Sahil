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4.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inuser\Desktop\"/>
    </mc:Choice>
  </mc:AlternateContent>
  <xr:revisionPtr revIDLastSave="0" documentId="8_{46439980-AFD6-42FF-932C-979ECC762505}" xr6:coauthVersionLast="47" xr6:coauthVersionMax="47" xr10:uidLastSave="{00000000-0000-0000-0000-000000000000}"/>
  <bookViews>
    <workbookView xWindow="-110" yWindow="-110" windowWidth="19420" windowHeight="12220" tabRatio="836" activeTab="2" xr2:uid="{00000000-000D-0000-FFFF-FFFF00000000}"/>
  </bookViews>
  <sheets>
    <sheet name="Instruction" sheetId="48" r:id="rId1"/>
    <sheet name="DevSel" sheetId="23" r:id="rId2"/>
    <sheet name="Checklist" sheetId="11" r:id="rId3"/>
    <sheet name="Revision History" sheetId="47" r:id="rId4"/>
    <sheet name="OPN_Agilex" sheetId="25" state="hidden" r:id="rId5"/>
    <sheet name="DSTCfg" sheetId="24" state="veryHidden" r:id="rId6"/>
    <sheet name="DSTMsg" sheetId="26" state="veryHidden" r:id="rId7"/>
    <sheet name="PWR_CAP" sheetId="35" state="hidden" r:id="rId8"/>
    <sheet name="PWR_ref" sheetId="34" state="veryHidden" r:id="rId9"/>
    <sheet name="SDM" sheetId="2" state="veryHidden" r:id="rId10"/>
    <sheet name="SDMIO" sheetId="15" state="veryHidden" r:id="rId11"/>
    <sheet name="SDMIO_ref" sheetId="27" state="veryHidden" r:id="rId12"/>
    <sheet name="SDMIO_assign" sheetId="41" state="veryHidden" r:id="rId13"/>
    <sheet name="CLK_PLL" sheetId="33" state="veryHidden" r:id="rId14"/>
    <sheet name="GPIO" sheetId="43" state="veryHidden" r:id="rId15"/>
    <sheet name="Sensor" sheetId="32" state="veryHidden" r:id="rId16"/>
    <sheet name="XCVR" sheetId="31" state="veryHidden" r:id="rId17"/>
    <sheet name="EMIF" sheetId="36" state="veryHidden" r:id="rId18"/>
    <sheet name="DDR4" sheetId="37" state="veryHidden" r:id="rId19"/>
    <sheet name="LPDDR4" sheetId="44" state="veryHidden" r:id="rId20"/>
    <sheet name="DDR5" sheetId="45" state="veryHidden" r:id="rId21"/>
    <sheet name="LPDDR5" sheetId="46" state="veryHidden" r:id="rId22"/>
    <sheet name="QDRIV" sheetId="38" state="veryHidden" r:id="rId23"/>
    <sheet name="HPS" sheetId="30" state="veryHidden" r:id="rId24"/>
    <sheet name="DNU_NC" sheetId="13" state="veryHidden" r:id="rId25"/>
    <sheet name="MSG" sheetId="39" state="veryHidden" r:id="rId26"/>
  </sheets>
  <definedNames>
    <definedName name="_xlnm._FilterDatabase" localSheetId="4" hidden="1">OPN_Agilex!$A$2:$W$317</definedName>
    <definedName name="_xlnm._FilterDatabase" localSheetId="7" hidden="1">PWR_CAP!$BE$3:$BE$5</definedName>
    <definedName name="AS">SDMIO_ref!$K$4:$K$7</definedName>
    <definedName name="AVSTX16">SDMIO_ref!$M$4:$M$5</definedName>
    <definedName name="AVSTX8">SDMIO_ref!$L$4:$L$5</definedName>
    <definedName name="lstCFGDONE">SDMIO_assign!$F$47</definedName>
    <definedName name="lstCVPDONE">SDMIO_assign!$F$49</definedName>
    <definedName name="lstD2FI">SDMIO_assign!$F$52</definedName>
    <definedName name="lstDSTDSP">DSTCfg!$D$8</definedName>
    <definedName name="lstDSTFlt">DSTCfg!$B$5:$B$11</definedName>
    <definedName name="lstDSTFVR">DSTCfg!$D$5</definedName>
    <definedName name="lstDSTLEs">DSTCfg!$D$7</definedName>
    <definedName name="lstDSTM20">DSTCfg!$D$9</definedName>
    <definedName name="lstDSTMIO">DSTCfg!$D$10</definedName>
    <definedName name="lstDSTOPN">DSTCfg!$D$12</definedName>
    <definedName name="lstDSTPKG">DSTCfg!$D$6</definedName>
    <definedName name="lstDSTTmp">DSTCfg!$D$11</definedName>
    <definedName name="lstDSTXCR">DSTCfg!#REF!</definedName>
    <definedName name="lstHPSCLDRST">SDMIO_assign!$F$51</definedName>
    <definedName name="lstINTDONE">SDMIO_assign!$F$48</definedName>
    <definedName name="lstNCAT">SDMIO_assign!$F$53</definedName>
    <definedName name="lstPRESET">tblPRESET[[#Headers],[No]:[Preset5_AVSTx16]]</definedName>
    <definedName name="lstSEUERR">SDMIO_assign!$F$50</definedName>
    <definedName name="lstStatus">Checklist!$F$16:$F$21</definedName>
    <definedName name="lstVerifiedVR">PWR_ref!$Q$3:$Q$6</definedName>
    <definedName name="tbl_DCP_source_search">PWR_ref!$J$4:$M$37</definedName>
    <definedName name="tblCLKPLL_1">CLK_PLL!$A$4:$D$6</definedName>
    <definedName name="tblGPIO_RZQ">GPIO!$A$3:$D$3</definedName>
    <definedName name="tblHPS_CLK">HPS!$A$4:$D$4</definedName>
    <definedName name="tblHPS_EMAC">HPS!$A$97:$D$150</definedName>
    <definedName name="tblHPS_GPIO">HPS!$A$17:$D$18</definedName>
    <definedName name="tblHPS_I2C">HPS!$A$159:$D$162</definedName>
    <definedName name="tblHPS_I3C">HPS!$A$168:$D$173</definedName>
    <definedName name="tblHPS_JTAG">HPS!$A$9:$D$12</definedName>
    <definedName name="tblHPS_NAND">HPS!$A$41:$D$64</definedName>
    <definedName name="tblHPS_SDMMC">HPS!$A$23:$D$36</definedName>
    <definedName name="tblHPS_SPI">HPS!$A$177:$D$194</definedName>
    <definedName name="tblHPS_TRACE">HPS!$A$211:$D$227</definedName>
    <definedName name="tblHPS_UART">HPS!$A$199:$D$206</definedName>
    <definedName name="tblHPS_UART_OPTION">Checklist!$B$221</definedName>
    <definedName name="tblHPS_USB">HPS!$A$69:$D$92</definedName>
    <definedName name="tblHSIO">GPIO!$A$7:$D$7</definedName>
    <definedName name="tblHVIO">GPIO!$A$11:$D$11</definedName>
    <definedName name="tblHVIO_OPT_FUNC">GPIO!$A$16:$D$22</definedName>
    <definedName name="tblSENSOR_1">Sensor!$A$4:$D$8</definedName>
    <definedName name="var_FILTERS">DevSel!$C$6</definedName>
    <definedName name="var_FILTERS_RESULTS">DevSel!$D$6</definedName>
    <definedName name="var_HPS_EMAC_OPTION">Checklist!$B$217</definedName>
    <definedName name="var_HPS_GPIO_OPTION">Checklist!$B$213</definedName>
    <definedName name="var_HPS_I2C_OPTION">Checklist!$B$218</definedName>
    <definedName name="var_HPS_I3C_OPTION">Checklist!$B$219</definedName>
    <definedName name="var_HPS_JTAG_OPTION">Checklist!$B$212</definedName>
    <definedName name="var_HPS_NAND_OPTION">Checklist!$B$215</definedName>
    <definedName name="var_HPS_OPTION">Checklist!$C$26</definedName>
    <definedName name="var_HPS_SDMMC_OPTION">Checklist!$B$214</definedName>
    <definedName name="var_HPS_SPI_OPTION">Checklist!$B$220</definedName>
    <definedName name="var_HPS_TRACE_OPTION">Checklist!$B$222</definedName>
    <definedName name="var_HPS_UART_OPTION">Checklist!$B$221</definedName>
    <definedName name="var_HPS_USB_OPTION">Checklist!$B$216</definedName>
    <definedName name="var_OPN">DevSel!$D$23</definedName>
    <definedName name="var_PWR_VR">Checklist!$B$32</definedName>
    <definedName name="varCONFIGMODE">Checklist!$C$18</definedName>
    <definedName name="varEMIF">Checklist!$C$24</definedName>
    <definedName name="varEMIF_PRESET">Checklist!$B$176</definedName>
    <definedName name="varHasHPS">DevSel!$D$32</definedName>
    <definedName name="varSDMIO_PRESET">Checklist!$B$72</definedName>
    <definedName name="varSDMIO_PRESET_ASSIGN">SDMIO_assign!$D$7</definedName>
    <definedName name="varSmartVID">DevSel!$D$31</definedName>
    <definedName name="vltDST">DSTCfg!$B$5:$C$12</definedName>
    <definedName name="vltDSTMsg" localSheetId="6">DSTMsg!$B$2:$C$9</definedName>
    <definedName name="vltSDMIO">SDMIO_assign!$D$44:$E$53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3" i="41" l="1" a="1"/>
  <c r="F52" i="41" a="1"/>
  <c r="F51" i="41" a="1"/>
  <c r="F50" i="41" a="1"/>
  <c r="F49" i="41" a="1"/>
  <c r="F48" i="41" a="1"/>
  <c r="F47" i="41" a="1"/>
  <c r="D12" i="24" a="1"/>
  <c r="D11" i="24" a="1"/>
  <c r="D10" i="24" a="1"/>
  <c r="D9" i="24" a="1"/>
  <c r="D8" i="24" a="1"/>
  <c r="D7" i="24" a="1"/>
  <c r="D6" i="24" a="1"/>
  <c r="D5" i="24" a="1"/>
  <c r="D12" i="24" l="1"/>
  <c r="D11" i="24"/>
  <c r="D10" i="24"/>
  <c r="D9" i="24"/>
  <c r="D8" i="24"/>
  <c r="D7" i="24"/>
  <c r="D6" i="24"/>
  <c r="D5" i="24"/>
  <c r="F53" i="41"/>
  <c r="F52" i="41"/>
  <c r="F51" i="41"/>
  <c r="F50" i="41"/>
  <c r="F49" i="41"/>
  <c r="F48" i="41"/>
  <c r="F47" i="41"/>
  <c r="H53" i="11" l="1"/>
  <c r="G53" i="11"/>
  <c r="E53" i="11"/>
  <c r="B53" i="11"/>
  <c r="F53" i="11"/>
  <c r="D11" i="35" l="1"/>
  <c r="D10" i="35"/>
  <c r="C11" i="35"/>
  <c r="C10" i="35"/>
  <c r="D14" i="35"/>
  <c r="D15" i="35"/>
  <c r="C15" i="35"/>
  <c r="C14" i="35"/>
  <c r="B158" i="11" l="1"/>
  <c r="B159" i="11"/>
  <c r="B160" i="11"/>
  <c r="B161" i="11"/>
  <c r="B162" i="11"/>
  <c r="B163" i="11"/>
  <c r="B164" i="11"/>
  <c r="B165" i="11"/>
  <c r="B166" i="11"/>
  <c r="B167" i="11"/>
  <c r="B168" i="11"/>
  <c r="B169" i="11"/>
  <c r="B170" i="11"/>
  <c r="B171" i="11"/>
  <c r="B123" i="11"/>
  <c r="B124" i="11"/>
  <c r="B125" i="11"/>
  <c r="B126" i="11"/>
  <c r="B122" i="11"/>
  <c r="B146" i="11"/>
  <c r="B147" i="11"/>
  <c r="B148" i="11"/>
  <c r="B149" i="11"/>
  <c r="B150" i="11"/>
  <c r="B151" i="11"/>
  <c r="B152" i="11"/>
  <c r="B142" i="11"/>
  <c r="B138" i="11"/>
  <c r="B134" i="11"/>
  <c r="D13" i="35" l="1"/>
  <c r="D12" i="35"/>
  <c r="C13" i="35"/>
  <c r="C12" i="35"/>
  <c r="C53" i="35"/>
  <c r="B53" i="35"/>
  <c r="C51" i="35"/>
  <c r="B51" i="35"/>
  <c r="C50" i="35"/>
  <c r="B50" i="35"/>
  <c r="C49" i="35"/>
  <c r="B49" i="35"/>
  <c r="C33" i="35"/>
  <c r="B33" i="35"/>
  <c r="D9" i="35"/>
  <c r="C9" i="35"/>
  <c r="B439" i="11" l="1"/>
  <c r="B440" i="11"/>
  <c r="B115" i="11"/>
  <c r="B116" i="11"/>
  <c r="B117" i="11"/>
  <c r="E115" i="11"/>
  <c r="E116" i="11"/>
  <c r="E117" i="11"/>
  <c r="F36" i="11"/>
  <c r="F37" i="11"/>
  <c r="F38" i="11"/>
  <c r="F39" i="11"/>
  <c r="F40" i="11"/>
  <c r="F41" i="11"/>
  <c r="F42" i="11"/>
  <c r="F43" i="11"/>
  <c r="F44" i="11"/>
  <c r="F45" i="11"/>
  <c r="F46" i="11"/>
  <c r="F47" i="11"/>
  <c r="F48" i="11"/>
  <c r="F49" i="11"/>
  <c r="F50" i="11"/>
  <c r="F51" i="11"/>
  <c r="F52" i="11"/>
  <c r="F54" i="11"/>
  <c r="F55" i="11"/>
  <c r="F56" i="11"/>
  <c r="F57" i="11"/>
  <c r="F35" i="11"/>
  <c r="B36" i="11"/>
  <c r="B37" i="11"/>
  <c r="B38" i="11"/>
  <c r="B39" i="11"/>
  <c r="B40" i="11"/>
  <c r="B41" i="11"/>
  <c r="B42" i="11"/>
  <c r="B43" i="11"/>
  <c r="B44" i="11"/>
  <c r="B45" i="11"/>
  <c r="B46" i="11"/>
  <c r="B47" i="11"/>
  <c r="B48" i="11"/>
  <c r="B49" i="11"/>
  <c r="B50" i="11"/>
  <c r="B51" i="11"/>
  <c r="B52" i="11"/>
  <c r="B54" i="11"/>
  <c r="B55" i="11"/>
  <c r="B56" i="11"/>
  <c r="B57" i="11"/>
  <c r="B35" i="11"/>
  <c r="E190" i="11" l="1"/>
  <c r="B205" i="11"/>
  <c r="E205" i="11"/>
  <c r="B191" i="11"/>
  <c r="E191" i="11"/>
  <c r="E163" i="11"/>
  <c r="E18" i="11"/>
  <c r="E134" i="11"/>
  <c r="E146" i="11"/>
  <c r="E147" i="11"/>
  <c r="E148" i="11"/>
  <c r="E149" i="11"/>
  <c r="E150" i="11"/>
  <c r="E151" i="11"/>
  <c r="E152" i="11"/>
  <c r="E142" i="11"/>
  <c r="E138" i="11"/>
  <c r="E162" i="11"/>
  <c r="F44" i="41" a="1"/>
  <c r="F46" i="41" a="1"/>
  <c r="F45" i="41" a="1"/>
  <c r="F46" i="41" l="1"/>
  <c r="F44" i="41"/>
  <c r="F45" i="41"/>
  <c r="E56" i="11"/>
  <c r="E57" i="11"/>
  <c r="E52" i="11"/>
  <c r="E54" i="11"/>
  <c r="E55" i="11"/>
  <c r="H46" i="11"/>
  <c r="H47" i="11"/>
  <c r="H48" i="11"/>
  <c r="G46" i="11"/>
  <c r="G47" i="11"/>
  <c r="G48" i="11"/>
  <c r="E36" i="11"/>
  <c r="E37" i="11"/>
  <c r="E38" i="11"/>
  <c r="E39" i="11"/>
  <c r="E40" i="11"/>
  <c r="E41" i="11"/>
  <c r="E42" i="11"/>
  <c r="E43" i="11"/>
  <c r="E44" i="11"/>
  <c r="E45" i="11"/>
  <c r="E46" i="11"/>
  <c r="E47" i="11"/>
  <c r="E48" i="11"/>
  <c r="E49" i="11"/>
  <c r="E50" i="11"/>
  <c r="E51" i="11"/>
  <c r="H57" i="11"/>
  <c r="G57" i="11"/>
  <c r="H56" i="11"/>
  <c r="G56" i="11"/>
  <c r="H55" i="11"/>
  <c r="G55" i="11"/>
  <c r="H40" i="11"/>
  <c r="G40" i="11"/>
  <c r="C31" i="35"/>
  <c r="H38" i="11" s="1"/>
  <c r="C32" i="35"/>
  <c r="H39" i="11" s="1"/>
  <c r="C34" i="35"/>
  <c r="H41" i="11" s="1"/>
  <c r="C35" i="35"/>
  <c r="H42" i="11" s="1"/>
  <c r="C36" i="35"/>
  <c r="H43" i="11" s="1"/>
  <c r="C37" i="35"/>
  <c r="H44" i="11" s="1"/>
  <c r="C39" i="35"/>
  <c r="H45" i="11" s="1"/>
  <c r="C43" i="35"/>
  <c r="H49" i="11" s="1"/>
  <c r="C44" i="35"/>
  <c r="H50" i="11" s="1"/>
  <c r="C45" i="35"/>
  <c r="H51" i="11" s="1"/>
  <c r="C46" i="35"/>
  <c r="H52" i="11" s="1"/>
  <c r="C47" i="35"/>
  <c r="C48" i="35"/>
  <c r="H54" i="11" s="1"/>
  <c r="C52" i="35"/>
  <c r="C56" i="35"/>
  <c r="C57" i="35"/>
  <c r="C58" i="35"/>
  <c r="C59" i="35"/>
  <c r="C60" i="35"/>
  <c r="B31" i="35"/>
  <c r="G38" i="11" s="1"/>
  <c r="B32" i="35"/>
  <c r="G39" i="11" s="1"/>
  <c r="B34" i="35"/>
  <c r="G41" i="11" s="1"/>
  <c r="B35" i="35"/>
  <c r="G42" i="11" s="1"/>
  <c r="B36" i="35"/>
  <c r="G43" i="11" s="1"/>
  <c r="B37" i="35"/>
  <c r="G44" i="11" s="1"/>
  <c r="B39" i="35"/>
  <c r="G45" i="11" s="1"/>
  <c r="B43" i="35"/>
  <c r="G49" i="11" s="1"/>
  <c r="B44" i="35"/>
  <c r="G50" i="11" s="1"/>
  <c r="B45" i="35"/>
  <c r="G51" i="11" s="1"/>
  <c r="B46" i="35"/>
  <c r="G52" i="11" s="1"/>
  <c r="B47" i="35"/>
  <c r="B48" i="35"/>
  <c r="G54" i="11" s="1"/>
  <c r="B52" i="35"/>
  <c r="B56" i="35"/>
  <c r="B57" i="35"/>
  <c r="B58" i="35"/>
  <c r="B59" i="35"/>
  <c r="B60" i="35"/>
  <c r="C30" i="35"/>
  <c r="H37" i="11" s="1"/>
  <c r="B30" i="35"/>
  <c r="G37" i="11" s="1"/>
  <c r="E195" i="11"/>
  <c r="E196" i="11"/>
  <c r="E197" i="11"/>
  <c r="E198" i="11"/>
  <c r="E199" i="11"/>
  <c r="E200" i="11"/>
  <c r="E201" i="11"/>
  <c r="E202" i="11"/>
  <c r="E203" i="11"/>
  <c r="E204" i="11"/>
  <c r="E206" i="11"/>
  <c r="B195" i="11"/>
  <c r="B196" i="11"/>
  <c r="B197" i="11"/>
  <c r="B198" i="11"/>
  <c r="B199" i="11"/>
  <c r="B200" i="11"/>
  <c r="B201" i="11"/>
  <c r="B202" i="11"/>
  <c r="B203" i="11"/>
  <c r="B204" i="11"/>
  <c r="B206" i="11"/>
  <c r="E181" i="11"/>
  <c r="E182" i="11"/>
  <c r="E183" i="11"/>
  <c r="E184" i="11"/>
  <c r="E185" i="11"/>
  <c r="E186" i="11"/>
  <c r="E187" i="11"/>
  <c r="E188" i="11"/>
  <c r="E189" i="11"/>
  <c r="E192" i="11"/>
  <c r="B181" i="11"/>
  <c r="B182" i="11"/>
  <c r="B183" i="11"/>
  <c r="B184" i="11"/>
  <c r="B185" i="11"/>
  <c r="B186" i="11"/>
  <c r="B187" i="11"/>
  <c r="B188" i="11"/>
  <c r="B189" i="11"/>
  <c r="B190" i="11"/>
  <c r="B192" i="11"/>
  <c r="E158" i="11" l="1"/>
  <c r="E159" i="11"/>
  <c r="E160" i="11"/>
  <c r="E161" i="11"/>
  <c r="E164" i="11"/>
  <c r="E165" i="11"/>
  <c r="E166" i="11"/>
  <c r="E167" i="11"/>
  <c r="E168" i="11"/>
  <c r="E169" i="11"/>
  <c r="E170" i="11"/>
  <c r="E171" i="11"/>
  <c r="E126" i="11"/>
  <c r="D32" i="23"/>
  <c r="C32" i="11"/>
  <c r="D31" i="23"/>
  <c r="E440" i="11"/>
  <c r="E439" i="11"/>
  <c r="E123" i="11"/>
  <c r="E124" i="11"/>
  <c r="E125" i="11"/>
  <c r="E122" i="11"/>
  <c r="E35" i="11"/>
  <c r="B241" i="11" l="1"/>
  <c r="B242" i="11"/>
  <c r="E241" i="11"/>
  <c r="B243" i="11"/>
  <c r="E262" i="11"/>
  <c r="E278" i="11"/>
  <c r="B270" i="11"/>
  <c r="E289" i="11"/>
  <c r="E305" i="11"/>
  <c r="B297" i="11"/>
  <c r="E316" i="11"/>
  <c r="E332" i="11"/>
  <c r="E348" i="11"/>
  <c r="E364" i="11"/>
  <c r="B326" i="11"/>
  <c r="B342" i="11"/>
  <c r="B358" i="11"/>
  <c r="E376" i="11"/>
  <c r="E389" i="11"/>
  <c r="B387" i="11"/>
  <c r="E406" i="11"/>
  <c r="E417" i="11"/>
  <c r="E433" i="11"/>
  <c r="B432" i="11"/>
  <c r="B244" i="11"/>
  <c r="E263" i="11"/>
  <c r="E279" i="11"/>
  <c r="B271" i="11"/>
  <c r="E290" i="11"/>
  <c r="E306" i="11"/>
  <c r="B298" i="11"/>
  <c r="E317" i="11"/>
  <c r="E333" i="11"/>
  <c r="E349" i="11"/>
  <c r="E365" i="11"/>
  <c r="B327" i="11"/>
  <c r="B343" i="11"/>
  <c r="B359" i="11"/>
  <c r="E377" i="11"/>
  <c r="E390" i="11"/>
  <c r="B388" i="11"/>
  <c r="E407" i="11"/>
  <c r="E418" i="11"/>
  <c r="B417" i="11"/>
  <c r="B433" i="11"/>
  <c r="B245" i="11"/>
  <c r="E264" i="11"/>
  <c r="E280" i="11"/>
  <c r="B272" i="11"/>
  <c r="E291" i="11"/>
  <c r="E307" i="11"/>
  <c r="B299" i="11"/>
  <c r="E318" i="11"/>
  <c r="E334" i="11"/>
  <c r="E350" i="11"/>
  <c r="B312" i="11"/>
  <c r="B328" i="11"/>
  <c r="B344" i="11"/>
  <c r="B360" i="11"/>
  <c r="E378" i="11"/>
  <c r="E391" i="11"/>
  <c r="B389" i="11"/>
  <c r="E408" i="11"/>
  <c r="E419" i="11"/>
  <c r="B418" i="11"/>
  <c r="B246" i="11"/>
  <c r="E265" i="11"/>
  <c r="E281" i="11"/>
  <c r="B273" i="11"/>
  <c r="E292" i="11"/>
  <c r="E319" i="11"/>
  <c r="E335" i="11"/>
  <c r="B329" i="11"/>
  <c r="E379" i="11"/>
  <c r="E409" i="11"/>
  <c r="B258" i="11"/>
  <c r="E293" i="11"/>
  <c r="E320" i="11"/>
  <c r="B314" i="11"/>
  <c r="B362" i="11"/>
  <c r="E410" i="11"/>
  <c r="B248" i="11"/>
  <c r="B275" i="11"/>
  <c r="E321" i="11"/>
  <c r="B315" i="11"/>
  <c r="B363" i="11"/>
  <c r="B392" i="11"/>
  <c r="E242" i="11"/>
  <c r="E243" i="11"/>
  <c r="E244" i="11"/>
  <c r="E245" i="11"/>
  <c r="B394" i="11"/>
  <c r="E270" i="11"/>
  <c r="B289" i="11"/>
  <c r="E340" i="11"/>
  <c r="B350" i="11"/>
  <c r="E397" i="11"/>
  <c r="B424" i="11"/>
  <c r="B252" i="11"/>
  <c r="E271" i="11"/>
  <c r="B263" i="11"/>
  <c r="B279" i="11"/>
  <c r="E298" i="11"/>
  <c r="B290" i="11"/>
  <c r="B306" i="11"/>
  <c r="E325" i="11"/>
  <c r="E357" i="11"/>
  <c r="B319" i="11"/>
  <c r="E370" i="11"/>
  <c r="E398" i="11"/>
  <c r="B407" i="11"/>
  <c r="B425" i="11"/>
  <c r="E272" i="11"/>
  <c r="B280" i="11"/>
  <c r="B307" i="11"/>
  <c r="B320" i="11"/>
  <c r="E371" i="11"/>
  <c r="B397" i="11"/>
  <c r="B426" i="11"/>
  <c r="B265" i="11"/>
  <c r="E300" i="11"/>
  <c r="E327" i="11"/>
  <c r="B321" i="11"/>
  <c r="E372" i="11"/>
  <c r="B398" i="11"/>
  <c r="B427" i="11"/>
  <c r="E246" i="11"/>
  <c r="E247" i="11"/>
  <c r="B335" i="11"/>
  <c r="B264" i="11"/>
  <c r="B291" i="11"/>
  <c r="E342" i="11"/>
  <c r="B352" i="11"/>
  <c r="E399" i="11"/>
  <c r="E427" i="11"/>
  <c r="E273" i="11"/>
  <c r="B292" i="11"/>
  <c r="E343" i="11"/>
  <c r="B337" i="11"/>
  <c r="B381" i="11"/>
  <c r="B409" i="11"/>
  <c r="E248" i="11"/>
  <c r="E249" i="11"/>
  <c r="E341" i="11"/>
  <c r="B351" i="11"/>
  <c r="B379" i="11"/>
  <c r="B396" i="11"/>
  <c r="E426" i="11"/>
  <c r="B253" i="11"/>
  <c r="E299" i="11"/>
  <c r="E326" i="11"/>
  <c r="E358" i="11"/>
  <c r="B336" i="11"/>
  <c r="B380" i="11"/>
  <c r="B408" i="11"/>
  <c r="B254" i="11"/>
  <c r="B281" i="11"/>
  <c r="B308" i="11"/>
  <c r="E359" i="11"/>
  <c r="B353" i="11"/>
  <c r="E400" i="11"/>
  <c r="E428" i="11"/>
  <c r="E250" i="11"/>
  <c r="E251" i="11"/>
  <c r="E252" i="11"/>
  <c r="E253" i="11"/>
  <c r="E258" i="11"/>
  <c r="E274" i="11"/>
  <c r="B266" i="11"/>
  <c r="E285" i="11"/>
  <c r="E301" i="11"/>
  <c r="B293" i="11"/>
  <c r="E312" i="11"/>
  <c r="E328" i="11"/>
  <c r="E344" i="11"/>
  <c r="E360" i="11"/>
  <c r="B322" i="11"/>
  <c r="B338" i="11"/>
  <c r="B354" i="11"/>
  <c r="B369" i="11"/>
  <c r="E385" i="11"/>
  <c r="E401" i="11"/>
  <c r="B399" i="11"/>
  <c r="B410" i="11"/>
  <c r="E429" i="11"/>
  <c r="B428" i="11"/>
  <c r="E275" i="11"/>
  <c r="E302" i="11"/>
  <c r="B294" i="11"/>
  <c r="E329" i="11"/>
  <c r="E345" i="11"/>
  <c r="E361" i="11"/>
  <c r="B339" i="11"/>
  <c r="B370" i="11"/>
  <c r="E386" i="11"/>
  <c r="B400" i="11"/>
  <c r="E430" i="11"/>
  <c r="B429" i="11"/>
  <c r="E276" i="11"/>
  <c r="B268" i="11"/>
  <c r="E303" i="11"/>
  <c r="B295" i="11"/>
  <c r="E330" i="11"/>
  <c r="E346" i="11"/>
  <c r="B324" i="11"/>
  <c r="B356" i="11"/>
  <c r="E387" i="11"/>
  <c r="B401" i="11"/>
  <c r="E431" i="11"/>
  <c r="B430" i="11"/>
  <c r="E277" i="11"/>
  <c r="E288" i="11"/>
  <c r="B296" i="11"/>
  <c r="E331" i="11"/>
  <c r="E363" i="11"/>
  <c r="B341" i="11"/>
  <c r="B372" i="11"/>
  <c r="B386" i="11"/>
  <c r="B413" i="11"/>
  <c r="B431" i="11"/>
  <c r="E308" i="11"/>
  <c r="E351" i="11"/>
  <c r="B345" i="11"/>
  <c r="E392" i="11"/>
  <c r="B419" i="11"/>
  <c r="E266" i="11"/>
  <c r="B285" i="11"/>
  <c r="E336" i="11"/>
  <c r="B330" i="11"/>
  <c r="E380" i="11"/>
  <c r="B391" i="11"/>
  <c r="B420" i="11"/>
  <c r="B259" i="11"/>
  <c r="E294" i="11"/>
  <c r="B302" i="11"/>
  <c r="E353" i="11"/>
  <c r="B347" i="11"/>
  <c r="E394" i="11"/>
  <c r="E422" i="11"/>
  <c r="E268" i="11"/>
  <c r="B276" i="11"/>
  <c r="B287" i="11"/>
  <c r="E322" i="11"/>
  <c r="E354" i="11"/>
  <c r="B332" i="11"/>
  <c r="B364" i="11"/>
  <c r="E395" i="11"/>
  <c r="E412" i="11"/>
  <c r="B422" i="11"/>
  <c r="E269" i="11"/>
  <c r="E254" i="11"/>
  <c r="E259" i="11"/>
  <c r="B267" i="11"/>
  <c r="E286" i="11"/>
  <c r="E313" i="11"/>
  <c r="B323" i="11"/>
  <c r="B355" i="11"/>
  <c r="E402" i="11"/>
  <c r="B411" i="11"/>
  <c r="E260" i="11"/>
  <c r="E287" i="11"/>
  <c r="E314" i="11"/>
  <c r="E362" i="11"/>
  <c r="B340" i="11"/>
  <c r="B371" i="11"/>
  <c r="B385" i="11"/>
  <c r="B412" i="11"/>
  <c r="E261" i="11"/>
  <c r="B269" i="11"/>
  <c r="E304" i="11"/>
  <c r="E315" i="11"/>
  <c r="E347" i="11"/>
  <c r="B325" i="11"/>
  <c r="B357" i="11"/>
  <c r="E388" i="11"/>
  <c r="B402" i="11"/>
  <c r="E432" i="11"/>
  <c r="B300" i="11"/>
  <c r="B313" i="11"/>
  <c r="B361" i="11"/>
  <c r="B390" i="11"/>
  <c r="E420" i="11"/>
  <c r="B247" i="11"/>
  <c r="B274" i="11"/>
  <c r="B301" i="11"/>
  <c r="E352" i="11"/>
  <c r="B346" i="11"/>
  <c r="E393" i="11"/>
  <c r="E421" i="11"/>
  <c r="E267" i="11"/>
  <c r="B286" i="11"/>
  <c r="E337" i="11"/>
  <c r="B331" i="11"/>
  <c r="E381" i="11"/>
  <c r="E411" i="11"/>
  <c r="B249" i="11"/>
  <c r="B260" i="11"/>
  <c r="E295" i="11"/>
  <c r="B303" i="11"/>
  <c r="E338" i="11"/>
  <c r="B316" i="11"/>
  <c r="B348" i="11"/>
  <c r="B376" i="11"/>
  <c r="B393" i="11"/>
  <c r="E423" i="11"/>
  <c r="B250" i="11"/>
  <c r="B261" i="11"/>
  <c r="E296" i="11"/>
  <c r="B288" i="11"/>
  <c r="B304" i="11"/>
  <c r="E323" i="11"/>
  <c r="E339" i="11"/>
  <c r="E355" i="11"/>
  <c r="B317" i="11"/>
  <c r="B333" i="11"/>
  <c r="B349" i="11"/>
  <c r="B365" i="11"/>
  <c r="B377" i="11"/>
  <c r="E396" i="11"/>
  <c r="E413" i="11"/>
  <c r="E424" i="11"/>
  <c r="B423" i="11"/>
  <c r="B251" i="11"/>
  <c r="B262" i="11"/>
  <c r="B278" i="11"/>
  <c r="E297" i="11"/>
  <c r="B305" i="11"/>
  <c r="E324" i="11"/>
  <c r="E356" i="11"/>
  <c r="B318" i="11"/>
  <c r="B334" i="11"/>
  <c r="E369" i="11"/>
  <c r="B378" i="11"/>
  <c r="B395" i="11"/>
  <c r="B406" i="11"/>
  <c r="B277" i="11"/>
  <c r="B421" i="11"/>
  <c r="E425" i="11"/>
  <c r="B236" i="11"/>
  <c r="B229" i="11"/>
  <c r="B231" i="11"/>
  <c r="B232" i="11"/>
  <c r="E225" i="11"/>
  <c r="B225" i="11"/>
  <c r="E237" i="11"/>
  <c r="B237" i="11"/>
  <c r="E229" i="11"/>
  <c r="E230" i="11"/>
  <c r="E231" i="11"/>
  <c r="E232" i="11"/>
  <c r="B230" i="11"/>
  <c r="E236" i="11"/>
  <c r="F63" i="11"/>
  <c r="F64" i="11"/>
  <c r="F65" i="11"/>
  <c r="B64" i="11"/>
  <c r="F62" i="11"/>
  <c r="B61" i="11"/>
  <c r="B63" i="11"/>
  <c r="B65" i="11"/>
  <c r="F61" i="11"/>
  <c r="B62" i="11"/>
  <c r="H62" i="11"/>
  <c r="G65" i="11"/>
  <c r="E64" i="11"/>
  <c r="G61" i="11"/>
  <c r="E65" i="11"/>
  <c r="H65" i="11"/>
  <c r="E62" i="11"/>
  <c r="H61" i="11"/>
  <c r="G63" i="11"/>
  <c r="H64" i="11"/>
  <c r="G62" i="11"/>
  <c r="E63" i="11"/>
  <c r="G64" i="11"/>
  <c r="H63" i="11"/>
  <c r="E61" i="11"/>
  <c r="D30" i="23"/>
  <c r="D29" i="23"/>
  <c r="D28" i="23"/>
  <c r="D27" i="23"/>
  <c r="D25" i="23"/>
  <c r="D26" i="23"/>
  <c r="D4" i="41"/>
  <c r="D8" i="41" s="1" a="1"/>
  <c r="D8" i="41" s="1"/>
  <c r="D3" i="41"/>
  <c r="E17" i="11"/>
  <c r="E19" i="11"/>
  <c r="E20" i="11"/>
  <c r="E21" i="11"/>
  <c r="E16" i="11"/>
  <c r="C28" i="41" l="1"/>
  <c r="C31" i="41"/>
  <c r="C26" i="41"/>
  <c r="C23" i="41"/>
  <c r="C30" i="41"/>
  <c r="C29" i="41"/>
  <c r="C24" i="41"/>
  <c r="C32" i="41"/>
  <c r="C25" i="41"/>
  <c r="C27" i="41"/>
  <c r="C41" i="41"/>
  <c r="C42" i="41"/>
  <c r="C43" i="41"/>
  <c r="C37" i="41"/>
  <c r="C35" i="41"/>
  <c r="C36" i="41"/>
  <c r="C38" i="41"/>
  <c r="C39" i="41"/>
  <c r="C40" i="41"/>
  <c r="C34" i="41"/>
  <c r="C33" i="41"/>
  <c r="C16" i="11" l="1"/>
  <c r="A2" i="35"/>
  <c r="E2" i="35" l="1"/>
  <c r="F2" i="35"/>
  <c r="D2" i="35"/>
  <c r="A4" i="35"/>
  <c r="D4" i="35" s="1"/>
  <c r="H2" i="35" l="1"/>
  <c r="G2" i="35"/>
  <c r="C4" i="35"/>
  <c r="B4" i="35"/>
  <c r="C29" i="35" l="1"/>
  <c r="H36" i="11" s="1"/>
  <c r="B29" i="35"/>
  <c r="G36" i="11" s="1"/>
  <c r="B28" i="35"/>
  <c r="G35" i="11" s="1"/>
  <c r="C28" i="35"/>
  <c r="H35" i="11" s="1"/>
  <c r="C47" i="41" a="1"/>
  <c r="C47" i="41" s="1"/>
  <c r="F83" i="11"/>
  <c r="B83" i="11" s="1"/>
  <c r="F84" i="11"/>
  <c r="B84" i="11" s="1"/>
  <c r="F85" i="11"/>
  <c r="B85" i="11" s="1"/>
  <c r="F86" i="11"/>
  <c r="B86" i="11" s="1"/>
  <c r="F87" i="11"/>
  <c r="B87" i="11" s="1"/>
  <c r="F88" i="11"/>
  <c r="B88" i="11" s="1"/>
  <c r="F89" i="11"/>
  <c r="F90" i="11"/>
  <c r="F91" i="11"/>
  <c r="F92" i="11"/>
  <c r="F93" i="11"/>
  <c r="B93" i="11" s="1"/>
  <c r="F82" i="11"/>
  <c r="B82" i="11" s="1"/>
  <c r="B92" i="11" l="1"/>
  <c r="E92" i="11"/>
  <c r="E90" i="11"/>
  <c r="B90" i="11"/>
  <c r="E91" i="11"/>
  <c r="B91" i="11"/>
  <c r="B89" i="11"/>
  <c r="E89" i="11"/>
  <c r="E87" i="11"/>
  <c r="E86" i="11"/>
  <c r="E88" i="11"/>
  <c r="E85" i="11"/>
  <c r="E84" i="11"/>
  <c r="E82" i="11"/>
  <c r="E93" i="11"/>
  <c r="E83" i="11"/>
  <c r="G5" i="41"/>
  <c r="F95" i="11" s="1"/>
  <c r="B95" i="11" s="1"/>
  <c r="G6" i="41"/>
  <c r="F96" i="11" s="1"/>
  <c r="B96" i="11" s="1"/>
  <c r="G10" i="41"/>
  <c r="F100" i="11" s="1"/>
  <c r="B100" i="11" s="1"/>
  <c r="G12" i="41"/>
  <c r="F102" i="11" s="1"/>
  <c r="B102" i="11" s="1"/>
  <c r="G7" i="41"/>
  <c r="F97" i="11" s="1"/>
  <c r="B97" i="11" s="1"/>
  <c r="G8" i="41"/>
  <c r="F98" i="11" s="1"/>
  <c r="B98" i="11" s="1"/>
  <c r="G20" i="41"/>
  <c r="F110" i="11" s="1"/>
  <c r="B110" i="11" s="1"/>
  <c r="G9" i="41"/>
  <c r="F99" i="11" s="1"/>
  <c r="B99" i="11" s="1"/>
  <c r="G13" i="41"/>
  <c r="F103" i="11" s="1"/>
  <c r="B103" i="11" s="1"/>
  <c r="G11" i="41"/>
  <c r="F101" i="11" s="1"/>
  <c r="B101" i="11" s="1"/>
  <c r="G4" i="41"/>
  <c r="F94" i="11" s="1"/>
  <c r="B94" i="11" s="1"/>
  <c r="G16" i="41"/>
  <c r="F106" i="11" s="1"/>
  <c r="B106" i="11" s="1"/>
  <c r="G14" i="41"/>
  <c r="F104" i="11" s="1"/>
  <c r="B104" i="11" s="1"/>
  <c r="G15" i="41"/>
  <c r="F105" i="11" s="1"/>
  <c r="B105" i="11" s="1"/>
  <c r="G17" i="41"/>
  <c r="F107" i="11" s="1"/>
  <c r="B107" i="11" s="1"/>
  <c r="G18" i="41"/>
  <c r="F108" i="11" s="1"/>
  <c r="B108" i="11" s="1"/>
  <c r="G19" i="41"/>
  <c r="F109" i="11" s="1"/>
  <c r="B109" i="11" s="1"/>
  <c r="E108" i="11" l="1"/>
  <c r="E99" i="11"/>
  <c r="E110" i="11"/>
  <c r="E105" i="11"/>
  <c r="E98" i="11"/>
  <c r="E107" i="11"/>
  <c r="E97" i="11"/>
  <c r="E106" i="11"/>
  <c r="E102" i="11"/>
  <c r="E94" i="11"/>
  <c r="E100" i="11"/>
  <c r="E101" i="11"/>
  <c r="E96" i="11"/>
  <c r="E104" i="11"/>
  <c r="E109" i="11"/>
  <c r="E103" i="11"/>
  <c r="E95"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<sst xmlns="http://schemas.openxmlformats.org/spreadsheetml/2006/main" count="5005" uniqueCount="1540">
  <si>
    <t>Date</t>
  </si>
  <si>
    <t>Device Selection Tool</t>
  </si>
  <si>
    <t>Instructions:
Please use the filters below or mannually type in the OPN directly.</t>
  </si>
  <si>
    <t xml:space="preserve">    Filters</t>
  </si>
  <si>
    <t xml:space="preserve">    Descriptions:</t>
  </si>
  <si>
    <t>Ordering Part Number</t>
  </si>
  <si>
    <t>Logic Elements</t>
  </si>
  <si>
    <t>Tiles</t>
  </si>
  <si>
    <t>DSP Blocks</t>
  </si>
  <si>
    <t>M20K Memory Blocks</t>
  </si>
  <si>
    <t>Maximum User I/O Count</t>
  </si>
  <si>
    <t>Temperature Grade</t>
  </si>
  <si>
    <t>Require SmartVID？</t>
  </si>
  <si>
    <t>Has HPS?</t>
  </si>
  <si>
    <t xml:space="preserve">Ordering Part Number </t>
  </si>
  <si>
    <t>Status Summary</t>
  </si>
  <si>
    <t>OK</t>
  </si>
  <si>
    <t>Configuration Mode</t>
  </si>
  <si>
    <t>ASx4</t>
  </si>
  <si>
    <t>ERROR</t>
  </si>
  <si>
    <t>NOT CHECKED</t>
  </si>
  <si>
    <t>Use Sensors?</t>
  </si>
  <si>
    <t>NOT USED</t>
  </si>
  <si>
    <t>N.A.</t>
  </si>
  <si>
    <t xml:space="preserve">Use Transceiver? </t>
  </si>
  <si>
    <t>Yes</t>
  </si>
  <si>
    <t>Use EMIF?</t>
  </si>
  <si>
    <t>Use HPS?</t>
  </si>
  <si>
    <t>Power</t>
  </si>
  <si>
    <t>Voltage Regulator for SmartVID</t>
  </si>
  <si>
    <t>Pin Name</t>
  </si>
  <si>
    <t>Pin Connection Guideline</t>
  </si>
  <si>
    <t>Implementation (User Input)</t>
  </si>
  <si>
    <t>Status (User Input)</t>
  </si>
  <si>
    <t>Additional Info</t>
  </si>
  <si>
    <t>Power Group</t>
  </si>
  <si>
    <t>Decap</t>
  </si>
  <si>
    <t>Decap Additional Info</t>
  </si>
  <si>
    <t>VCCP</t>
  </si>
  <si>
    <t>VCC</t>
  </si>
  <si>
    <t>VCCPT</t>
  </si>
  <si>
    <t>VCCRCORE</t>
  </si>
  <si>
    <t>VCCH_SDM</t>
  </si>
  <si>
    <t>VCCIO_PIO_SDM</t>
  </si>
  <si>
    <t>VCCIO_SDM</t>
  </si>
  <si>
    <t>VCCPLLDIG_SDM</t>
  </si>
  <si>
    <t>VCCL_SDM</t>
  </si>
  <si>
    <t>VCCPLL_SDM</t>
  </si>
  <si>
    <t>GND</t>
  </si>
  <si>
    <t>VCCLSENSE</t>
  </si>
  <si>
    <t>GNDSENSE</t>
  </si>
  <si>
    <t>VCCADC</t>
  </si>
  <si>
    <t>VCCFUSEWR_SDM</t>
  </si>
  <si>
    <t>HPS Power Pins</t>
  </si>
  <si>
    <t>VCCL_HPS</t>
  </si>
  <si>
    <t>VCCIO_HPS</t>
  </si>
  <si>
    <t>SDM</t>
  </si>
  <si>
    <t xml:space="preserve">SDM_IO Assignment </t>
  </si>
  <si>
    <t>Preset</t>
  </si>
  <si>
    <t>Preset1_ASx4_RSU</t>
  </si>
  <si>
    <t>PWRMGT_SCL</t>
  </si>
  <si>
    <t>SDM_IO14</t>
  </si>
  <si>
    <t>PWRMGT_SDA</t>
  </si>
  <si>
    <t>SDM_IO11</t>
  </si>
  <si>
    <t>PWRMGT_ALERT</t>
  </si>
  <si>
    <t>Unused</t>
  </si>
  <si>
    <t>CONF_DONE</t>
  </si>
  <si>
    <t>SDM_IO16</t>
  </si>
  <si>
    <t>INIT_DONE</t>
  </si>
  <si>
    <t>SDM_IO0</t>
  </si>
  <si>
    <t>CvP_CONFDONE</t>
  </si>
  <si>
    <t>SEU_ERROR</t>
  </si>
  <si>
    <t>SDM_IO10</t>
  </si>
  <si>
    <t>HPS_COLD_nRESET</t>
  </si>
  <si>
    <t>Direct to Factory Image</t>
  </si>
  <si>
    <t>SDM_IO13</t>
  </si>
  <si>
    <t>nCATTRIP</t>
  </si>
  <si>
    <t>SDM_IO12</t>
  </si>
  <si>
    <t>Signal Name</t>
  </si>
  <si>
    <t>TCK</t>
  </si>
  <si>
    <t>TMS</t>
  </si>
  <si>
    <t>TDO</t>
  </si>
  <si>
    <t>TDI</t>
  </si>
  <si>
    <t>nSTATUS</t>
  </si>
  <si>
    <t>nCONFIG</t>
  </si>
  <si>
    <t>OSC_CLK_1</t>
  </si>
  <si>
    <t>RREF_SDM</t>
  </si>
  <si>
    <t>SDM_IO1</t>
  </si>
  <si>
    <t>SDM_IO2</t>
  </si>
  <si>
    <t>SDM_IO3</t>
  </si>
  <si>
    <t>SDM_IO4</t>
  </si>
  <si>
    <t>SDM_IO5</t>
  </si>
  <si>
    <t>SDM_IO6</t>
  </si>
  <si>
    <t>SDM_IO7</t>
  </si>
  <si>
    <t>SDM_IO8</t>
  </si>
  <si>
    <t>SDM_IO9</t>
  </si>
  <si>
    <t>SDM_IO15</t>
  </si>
  <si>
    <t>CLK/PLL</t>
  </si>
  <si>
    <t>Sensors</t>
  </si>
  <si>
    <t>VSIGP_[0,1]</t>
  </si>
  <si>
    <t>VSIGN_[0,1]</t>
  </si>
  <si>
    <t>Transceivers</t>
  </si>
  <si>
    <t>No</t>
  </si>
  <si>
    <t>EMIF</t>
  </si>
  <si>
    <t>DDR4</t>
  </si>
  <si>
    <t>QDRIV</t>
  </si>
  <si>
    <t>DDR4 Interface Pins</t>
  </si>
  <si>
    <t>Data pin - DQ</t>
  </si>
  <si>
    <t>Data strobe - DQS/DQSn</t>
  </si>
  <si>
    <t>mem_clk and mem_clk_n</t>
  </si>
  <si>
    <t>clock_source</t>
  </si>
  <si>
    <t>DBI_n</t>
  </si>
  <si>
    <t>Address [BA,BG, A]</t>
  </si>
  <si>
    <t>Command [CKE, ODT, CS_N, ACT_n, PAR]</t>
  </si>
  <si>
    <t>ALERT_n</t>
  </si>
  <si>
    <t>Reset for DDR4 Memory</t>
  </si>
  <si>
    <t>Reset for DDR4
controller</t>
  </si>
  <si>
    <t>RZQ_[#]</t>
  </si>
  <si>
    <t>Multiple DDR4 IP placed in an IO column
Clock_source
DQ/DM/DQS
Address/command/
mem_clk</t>
  </si>
  <si>
    <t>Memory clocks@ Memory</t>
  </si>
  <si>
    <t>Memory clocks@ FPGA</t>
  </si>
  <si>
    <t>DQS @ Memory
DQ @ Memory
DBI_n @ Memory</t>
  </si>
  <si>
    <t>DQS @ FPGA
DQ @ FPGA
DBI_n@ FPGA</t>
  </si>
  <si>
    <t>Address [BA,BG, A] @ Memory</t>
  </si>
  <si>
    <t>Address [BA, BG, A] @ FPGA</t>
  </si>
  <si>
    <t>Command [CKE, ODT,  CS_N, ACT_n, PAR] @ Memory</t>
  </si>
  <si>
    <t>Command [CKE, ODT, CS_N, ACT_n, PAR] @ FPGA</t>
  </si>
  <si>
    <t>Vref</t>
  </si>
  <si>
    <t>Vtt</t>
  </si>
  <si>
    <t xml:space="preserve">RZQ_[#] </t>
  </si>
  <si>
    <t>Data pin – DQA,DQB</t>
  </si>
  <si>
    <t>Data inversion pin – DINVA, DINVB</t>
  </si>
  <si>
    <t xml:space="preserve">QVLD
</t>
  </si>
  <si>
    <t>Read clock to the FPGA – QKA/QKAn, QKB/QKBn</t>
  </si>
  <si>
    <t>Write clock from the FPGA – DKA/DKAn, DKB/DKBn</t>
  </si>
  <si>
    <t>Memory clock – CK/CKn</t>
  </si>
  <si>
    <t>Address –
A</t>
  </si>
  <si>
    <t>Address inversion pin – AINV</t>
  </si>
  <si>
    <t>Address parity input –
 AP</t>
  </si>
  <si>
    <t>Address parity error flag – PE#</t>
  </si>
  <si>
    <t>Command –
LDA#, LDB#, RWA#,RWB#,CFG#,
LBK0#,LBK1#</t>
  </si>
  <si>
    <t>Reset for QDRIV Memory –
RST#</t>
  </si>
  <si>
    <t>Reset for QDR IV Controller</t>
  </si>
  <si>
    <t>RZQ</t>
  </si>
  <si>
    <t>Write Clock (DKA/DKAn, DKB/DKBn) @ FPGA</t>
  </si>
  <si>
    <t>Write Clock (DKA/DKAn, DKB/DKBn) @ Memory</t>
  </si>
  <si>
    <t>Read Clock (QKA/QKAn, QKB/QKBn) @ FPGA</t>
  </si>
  <si>
    <t>Read Clock (QKA/QKAn, QKB/QKBn) @ Memory</t>
  </si>
  <si>
    <t>Memory clocks(CK/CKn) @ FPGA</t>
  </si>
  <si>
    <t>Memory clocks(CK/CKn) @ Memory</t>
  </si>
  <si>
    <t>Data(DQA,DQB)  @ Memory</t>
  </si>
  <si>
    <t>Data(DQA,DQB)  @ FPGA</t>
  </si>
  <si>
    <t>DINV( DINVA, DINVB)
  @ Memory</t>
  </si>
  <si>
    <t>DINV( DINVA, DINVB)
  @ FPGA</t>
  </si>
  <si>
    <t>QVLD  @ Memory</t>
  </si>
  <si>
    <t>Address (A) @Memory</t>
  </si>
  <si>
    <t>Address (A) @ FPGA</t>
  </si>
  <si>
    <t>AINV@Memory</t>
  </si>
  <si>
    <t>AINV@FPGA</t>
  </si>
  <si>
    <t>AP@Memory</t>
  </si>
  <si>
    <t>AP@FPGA</t>
  </si>
  <si>
    <t>PE#@Memory</t>
  </si>
  <si>
    <t>PE#@FPGA</t>
  </si>
  <si>
    <t>Command (LDA#, LDB#, RWA#,RWB#,CFG#,
LBK0#,LBK1#) @ FPGA</t>
  </si>
  <si>
    <t>Command (LDA#, LDB#, RWA#,RWB#,CFG#,
LBK0#,LBK1#) @ Memory</t>
  </si>
  <si>
    <t>Reset for QDRIV@FPGA</t>
  </si>
  <si>
    <t xml:space="preserve">RZQ </t>
  </si>
  <si>
    <t>HPS</t>
  </si>
  <si>
    <t>JTAG</t>
  </si>
  <si>
    <t>GPIO</t>
  </si>
  <si>
    <t>SDMMC</t>
  </si>
  <si>
    <t>NAND</t>
  </si>
  <si>
    <t>USB</t>
  </si>
  <si>
    <t>EMAC</t>
  </si>
  <si>
    <t>I2C</t>
  </si>
  <si>
    <t>SPI</t>
  </si>
  <si>
    <t>UART</t>
  </si>
  <si>
    <t>Trace</t>
  </si>
  <si>
    <t>HPS_OSC_CLK</t>
  </si>
  <si>
    <t>HPS JTAG</t>
  </si>
  <si>
    <t>HPS GPIO</t>
  </si>
  <si>
    <t>GPIO1_IO[0..23]</t>
  </si>
  <si>
    <t>HPS SDMMC</t>
  </si>
  <si>
    <t>HPS NAND</t>
  </si>
  <si>
    <t>HPS USB</t>
  </si>
  <si>
    <t>HPS EMAC</t>
  </si>
  <si>
    <t>HPS I2C</t>
  </si>
  <si>
    <t>HPS SPI</t>
  </si>
  <si>
    <t>HPS UART</t>
  </si>
  <si>
    <t>HPS Trace</t>
  </si>
  <si>
    <t xml:space="preserve">Trace_CLK </t>
  </si>
  <si>
    <t xml:space="preserve">Trace_D0 </t>
  </si>
  <si>
    <t xml:space="preserve">Trace_D1 </t>
  </si>
  <si>
    <t xml:space="preserve">Trace_D2 </t>
  </si>
  <si>
    <t xml:space="preserve">Trace_D3 </t>
  </si>
  <si>
    <t xml:space="preserve">Trace_D4 </t>
  </si>
  <si>
    <t xml:space="preserve">Trace_D5 </t>
  </si>
  <si>
    <t xml:space="preserve">Trace_D6 </t>
  </si>
  <si>
    <t xml:space="preserve">Trace_D7 </t>
  </si>
  <si>
    <t xml:space="preserve">Trace_D8 </t>
  </si>
  <si>
    <t xml:space="preserve">Trace_D9 </t>
  </si>
  <si>
    <t xml:space="preserve">Trace_D10 </t>
  </si>
  <si>
    <t xml:space="preserve">Trace_D11 </t>
  </si>
  <si>
    <t xml:space="preserve">Trace_D12 </t>
  </si>
  <si>
    <t xml:space="preserve">Trace_D13 </t>
  </si>
  <si>
    <t>Trace_D14</t>
  </si>
  <si>
    <t xml:space="preserve">Trace_D15 </t>
  </si>
  <si>
    <t>DNU/NC</t>
  </si>
  <si>
    <t>DNU</t>
  </si>
  <si>
    <t>Document Links</t>
  </si>
  <si>
    <t>OPN</t>
  </si>
  <si>
    <t>Type</t>
  </si>
  <si>
    <t>Device</t>
  </si>
  <si>
    <t>Family Variant</t>
  </si>
  <si>
    <t>Package Code</t>
  </si>
  <si>
    <t>Speed Package Code</t>
  </si>
  <si>
    <t>Speed Grade</t>
  </si>
  <si>
    <t>HSSI Speed Grade</t>
  </si>
  <si>
    <t>Crypto Support</t>
  </si>
  <si>
    <t>Core Voltage</t>
  </si>
  <si>
    <t>CXL Tile</t>
  </si>
  <si>
    <t>Partial Good Die Support</t>
  </si>
  <si>
    <t>HPS Support</t>
  </si>
  <si>
    <t>Support Advance Security</t>
  </si>
  <si>
    <t>ALM</t>
  </si>
  <si>
    <t>IOPLL</t>
  </si>
  <si>
    <t>Maximum User I/O count</t>
  </si>
  <si>
    <t>FirstRelease</t>
  </si>
  <si>
    <t>EXTENDED</t>
  </si>
  <si>
    <t>Selection Filters</t>
  </si>
  <si>
    <t>Table Name</t>
  </si>
  <si>
    <t>lstDSTFlt</t>
  </si>
  <si>
    <t>Validation List</t>
  </si>
  <si>
    <t>lstDSTFVR</t>
  </si>
  <si>
    <t>lstDSTPKG</t>
  </si>
  <si>
    <t>lstDSTLEs</t>
  </si>
  <si>
    <t>lstDSTDSP</t>
  </si>
  <si>
    <t>lstDSTM20</t>
  </si>
  <si>
    <t>lstDSTMIO</t>
  </si>
  <si>
    <t>lstDSTTmp</t>
  </si>
  <si>
    <t>lstDSTOPN</t>
  </si>
  <si>
    <t>Name</t>
  </si>
  <si>
    <t>Messages</t>
  </si>
  <si>
    <t>Device Info from DevSel</t>
  </si>
  <si>
    <t>tile</t>
  </si>
  <si>
    <t>tile1</t>
  </si>
  <si>
    <t>Column3</t>
  </si>
  <si>
    <t>tile2</t>
  </si>
  <si>
    <t>Device check for VCC &amp; VCCP group</t>
  </si>
  <si>
    <t>Group</t>
  </si>
  <si>
    <t>Notes</t>
  </si>
  <si>
    <t>tblPWR_DCP</t>
  </si>
  <si>
    <t>Rail Name</t>
  </si>
  <si>
    <t>VCCIO_PIO</t>
  </si>
  <si>
    <t>Addiontal Info</t>
  </si>
  <si>
    <t>pin type</t>
  </si>
  <si>
    <t>Note</t>
  </si>
  <si>
    <t>Core</t>
  </si>
  <si>
    <t>Intel Verified VR for smartvid</t>
  </si>
  <si>
    <t xml:space="preserve">System </t>
  </si>
  <si>
    <t>Power supply for the IOPLL, programmable power technology, and I/O pre-drivers.</t>
  </si>
  <si>
    <t>Column1</t>
  </si>
  <si>
    <t>Column2</t>
  </si>
  <si>
    <t>Column5</t>
  </si>
  <si>
    <t>Column7</t>
  </si>
  <si>
    <t>—</t>
  </si>
  <si>
    <t xml:space="preserve"> </t>
  </si>
  <si>
    <t>Ground</t>
  </si>
  <si>
    <t>LC filter capacitors</t>
  </si>
  <si>
    <t>Differential sense line to external regulator.</t>
  </si>
  <si>
    <t>The HPS dedicated I/Os support 1.8-V voltage level.</t>
  </si>
  <si>
    <t>Pin type</t>
  </si>
  <si>
    <t xml:space="preserve">Output </t>
  </si>
  <si>
    <t>If these pins are not used as the dual-purpose pins and they are not used as I/O pins, leave these pins unconnected.</t>
  </si>
  <si>
    <t>This pin is pulled high internally by a 20-kΩ resistor when the device is powered up.
This pin functions differently depending on the configuration scheme used by setting the MSEL pins.</t>
  </si>
  <si>
    <t>This pin needs to be pulled-up to VCCIO_SDM or pulled-down to GND through a 4.7-kΩ resistor depending on your configuration scheme.</t>
  </si>
  <si>
    <t>Singal Name</t>
  </si>
  <si>
    <t>AS_CLK</t>
  </si>
  <si>
    <t>Connect this pin to the clock input of the QSPI flash device when configuring from the QSPI flash device.</t>
  </si>
  <si>
    <t>AS_DATA0</t>
  </si>
  <si>
    <t>Connect this pin to the data0 pin of the QSPI flash device when configuring from the QSPI flash device.</t>
  </si>
  <si>
    <t>AS_DATA1</t>
  </si>
  <si>
    <t>Connect this pin to the data1 pin of the QSPI flash device when configuring from the QSPI flash device.</t>
  </si>
  <si>
    <t>AS_DATA2</t>
  </si>
  <si>
    <t>Connect this pin to the data2 pin of the QSPI flash device when configuring from the QSPI flash device.</t>
  </si>
  <si>
    <t>AS_DATA3</t>
  </si>
  <si>
    <t>Connect this pin to the data3 pin of the QSPI flash device when configuring from the QSPI flash device.</t>
  </si>
  <si>
    <t>AS_nCSO0</t>
  </si>
  <si>
    <t>Connect this pin to the nCS input of the first QSPI flash device when configuring from QSPI flash devices.</t>
  </si>
  <si>
    <t>AS_nCSO1</t>
  </si>
  <si>
    <t>AS_nCSO2</t>
  </si>
  <si>
    <t>AS_nCSO3</t>
  </si>
  <si>
    <t>AS_nRST</t>
  </si>
  <si>
    <t>Connect this pin to the reset pin of the QSPI flash device when configuring from the QSPI flash device.</t>
  </si>
  <si>
    <t>AVSTx8_CLK</t>
  </si>
  <si>
    <t>Connect this pin to the clock output of an external configuration controller when configuring using the Avalon-ST x8 interface.</t>
  </si>
  <si>
    <t>AVSTx8_DATA0</t>
  </si>
  <si>
    <t>Connect this pin to the data0 pin of an external configuration controller when configuring using the Avalon-ST x8 interface.</t>
  </si>
  <si>
    <t>AVSTx8_DATA1</t>
  </si>
  <si>
    <t>Connect this pin to the data1 pin of an external configuration controller when configuring using the Avalon-ST x8 interface.</t>
  </si>
  <si>
    <t>AVSTx8_DATA2</t>
  </si>
  <si>
    <t>Connect this pin to the data2 pin of an external configuration controller when configuring using the Avalon-ST x8 interface.</t>
  </si>
  <si>
    <t>AVSTx8_DATA3</t>
  </si>
  <si>
    <t>Connect this pin to the data3 pin of an external configuration controller when configuring using the Avalon-ST x8 interface.</t>
  </si>
  <si>
    <t>AVSTx8_DATA4</t>
  </si>
  <si>
    <t>Connect this pin to the data4 pin of an external configuration controller when configuring using the Avalon-ST x8 interface.</t>
  </si>
  <si>
    <t>AVSTx8_DATA5</t>
  </si>
  <si>
    <t>Connect this pin to the data5 pin of an external configuration controller when configuring using the Avalon-ST x8 interface.</t>
  </si>
  <si>
    <t>AVSTx8_DATA6</t>
  </si>
  <si>
    <t>Connect this pin to the data6 pin of an external configuration controller when configuring using the Avalon-ST x8 interface.</t>
  </si>
  <si>
    <t>AVSTx8_DATA7</t>
  </si>
  <si>
    <t>Connect this pin to the data7 pin of an external configuration controller when configuring using the Avalon-ST x8 interface.</t>
  </si>
  <si>
    <t>AVSTx8_READY</t>
  </si>
  <si>
    <t>Connect this pin to the ready signal output of the external configuration controller when configuring using the Avalon-ST x8 interface.</t>
  </si>
  <si>
    <t>AVSTx8_VALID</t>
  </si>
  <si>
    <t>Connect this pin to the data valid pin of an external configuration controller when configuring using the Avalon-ST x8 interface.</t>
  </si>
  <si>
    <t>The CONF_DONE pin indicates all configuration data has been received.</t>
  </si>
  <si>
    <t>NC</t>
  </si>
  <si>
    <t>Connect this output pin to an external device that monitors the nCATTRIP event.</t>
  </si>
  <si>
    <t>Connect this output pin to an external logic device that monitors the SEU event.</t>
  </si>
  <si>
    <t xml:space="preserve">This pin is not used. </t>
  </si>
  <si>
    <t>Preset of SDMIO assignment</t>
  </si>
  <si>
    <t>lstPRESET</t>
  </si>
  <si>
    <t>Preset2_ASx4_CvP</t>
  </si>
  <si>
    <t>Preset3_ASx4_HPS</t>
  </si>
  <si>
    <t>Preset4_AVSTx8</t>
  </si>
  <si>
    <t>Preset5_AVSTx16</t>
  </si>
  <si>
    <t>SDMIO assignment vs mode</t>
  </si>
  <si>
    <t>AVSTx8</t>
  </si>
  <si>
    <t>AVSTx16</t>
  </si>
  <si>
    <t>Input:</t>
  </si>
  <si>
    <t>SDMIO Output:</t>
  </si>
  <si>
    <t>Mode</t>
  </si>
  <si>
    <t>SDM_IO</t>
  </si>
  <si>
    <t>Signal</t>
  </si>
  <si>
    <t>SDMIO Preset</t>
  </si>
  <si>
    <t>SDMIO</t>
  </si>
  <si>
    <t>CrossValue</t>
  </si>
  <si>
    <t>SDMIO_dropdown</t>
  </si>
  <si>
    <t>lstCFGDONE</t>
  </si>
  <si>
    <t>lstINTDONE</t>
  </si>
  <si>
    <t>lstCVPDONE</t>
  </si>
  <si>
    <t>lstSEUERR</t>
  </si>
  <si>
    <t>lstHPSCLDRST</t>
  </si>
  <si>
    <t>lstD2FI</t>
  </si>
  <si>
    <t>lstNCAT</t>
  </si>
  <si>
    <t>Input</t>
  </si>
  <si>
    <t>Analog differential inputs pins used with the voltage sensor inside the FPGA to monitor external analog voltages.</t>
  </si>
  <si>
    <t>These pins connect to the internal temperature sensing diodes in the FPGA core and corner areas of the FPGA.</t>
  </si>
  <si>
    <t>Pin Type</t>
  </si>
  <si>
    <t>Leave these pins floating.</t>
  </si>
  <si>
    <t>DQS[0:63]</t>
  </si>
  <si>
    <t>YES</t>
  </si>
  <si>
    <t>Place on DQ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Agilex 7 FPGA IP User Guide.</t>
  </si>
  <si>
    <t>Place on DQS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Agilex 7 FPGA IP User Guide.</t>
  </si>
  <si>
    <t>DQ[0:63]</t>
  </si>
  <si>
    <t>Place it on CK/CK_N pins in the address/command IOBANK as specified in the &lt;variation_name&gt;_readme.txt file which is generated with your IP.
Additional HPS pinout requirements :
mem_clk and mem_clk_n must be placed in IO bank 3D bottom sub-bank.</t>
  </si>
  <si>
    <t>Place it on a PLL reference clock pin in one of the IOBANKS used by the memory interface. See the generated IP readme.txt file for an example pinout.
Additional HPS pinout requirements :
Clock source must be placed in IO bank 3D bottom sub-bank.
Intel does not check these but here are important recommendations for the clock source: 1) Use one of the recommended frequencies shown in the IP (IP General tab -&gt; Clocks), 2) Use a low jitter clock source. See the recommendations for Memory Output Clock Jitter  in the Intel Agilex 7 F-Series and I-Series Device Data Sheet</t>
  </si>
  <si>
    <t>Place on DBI_n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Agilx FPGA IP User Guide</t>
  </si>
  <si>
    <t>Place it on address pins in the address/command IOBANK as specified in the &lt;variation_name&gt;_readme.txt file which is generated with your IP.
Additional HPS pinout requirements :
Address pins must be placed in IO bank 3D bottom sub-bank.</t>
  </si>
  <si>
    <t>Place it on command pins in the address/command IOBANK as specified in the &lt;variation_name&gt;_readme.txt file which is generated with your IP.
Additional HPS pinout requirements :
Command pins must be placed in IO bank 3D bottom sub-bank.</t>
  </si>
  <si>
    <t>Alert input that indicates to the system's memory controller that a specific alert or event has occurred.
Place it on mem_alert_n pin as specified in the &lt;variation_name&gt;_readme.txt file which is generated with your IP. This may be in a DQS group or in the address/command IOBANK. 
Additional HPS pinout requirements:
ALERT_n must be placed in pin index 8 IN lane 2 in bottom sub-bank in bank 3D.</t>
  </si>
  <si>
    <t>Place it on mem_reset_n pin in the address/command IOBANK as specified in the &lt;variation_name&gt;_readme.txt file which is generated with your IP.
Additional HPS pinout requirements :
Reset for DDR4 Memory must be placed in IO bank 3D bottom sub-bank.</t>
  </si>
  <si>
    <t>Any user IO pins. The reset pin can alternatively be generated internally.</t>
  </si>
  <si>
    <t>Used when calibrated OCT for the memory interface pins is implemented.
RZQ must be placed in pin index 2 in lane 2 of the address and command
sub-bank only. See the generated IP readme.txt file for an example pinout.
Additional HPS pinout requirements :
RZQ must be placed in IO bank 3D bottom sub-bank.</t>
  </si>
  <si>
    <t>Check the latest pinout rules for sharing resources between multiple interfaces in the same IO column including :
- Check the interfaces are compatible for resource sharing
- pll ref clock and core clock sharing
- IOBANKS and placement of address/command/clk signals and data groups
The sharing of RZQ pins is not permitted.
 verify pll ref clock sharing in quartus project (it’s not supported in quartus version 20.1)
Do not share any resources between HPS and non-HPS DDR4 interfaces</t>
  </si>
  <si>
    <t xml:space="preserve">Fly by termination scheme. Clock signals are already terminated on the DIMM. No need to put any termination on the board.
Devices – Fly by termination scheme. differential termination resistor needs to be included in the design. Depending on your board stackup and layout requirements, you choose your differential termination resistor value. </t>
  </si>
  <si>
    <t>Use series output termination with calibration.  
Check the termination value in the .qip file
which is generated with your IP.</t>
  </si>
  <si>
    <t>Use ODT.</t>
  </si>
  <si>
    <t>Use series output termination with calibration and parallel input termination with calibration
Check the termination value in the .qip file which is generated with your IP.</t>
  </si>
  <si>
    <t>DIMM - Fly by termination scheme. Address signals are already terminated on the DIMM. No need to put any termination on the board. 
Discrete Device – Fly by termination scheme. Terminated at the device.</t>
  </si>
  <si>
    <t>Use fast slew rate and serial output termination with calibration.
Check the termination value in the .qip file which is generated with your IP.</t>
  </si>
  <si>
    <t>DIMM implementation - Fly by termination scheme. Command signals are already terminated on the DIMM. No need to put any termination on the board. 
Discrete Device – Fly by termination scheme. Terminated at the device.</t>
  </si>
  <si>
    <t>Termination with calibration.
Check the termination value in the .qip file which is generated with your IP.</t>
  </si>
  <si>
    <t xml:space="preserve">Use a voltage regulator to generate this voltage.
The DDR4 memory device requires a Vref of VDD/2 (0.6V) connected to its VREFCA pins.
The DDR4 memory device VREFDQ is generated internally. 
The FPGA DDR4 interface IOBANKS Vref is generated internally for the DQ, DQS,DQS_n and DBI_n signals.  </t>
  </si>
  <si>
    <t xml:space="preserve">Use a voltage regulator to generate this voltage.
Typically DDR4 DIMMS have decoupling capacitors connected between VTT  and VDD (1.2V) and it is recommended that designers follow this approach.
</t>
  </si>
  <si>
    <t xml:space="preserve">RZQ pin is connected to GND through an external 240-Ω resistor. Use the value specified in the IP. </t>
  </si>
  <si>
    <t xml:space="preserve">Place it on DQ pins of the DQ/DQS group.
The order of the DQ bits within a designated DQ group/bus is not important. Place the DQA/DQB pins as specified in the &lt;variation_name&gt;_readme.txt file which is generated with your IP.
</t>
  </si>
  <si>
    <t xml:space="preserve">Place it on the DQ pins of the DQ/DQS pin group. Place the DINVA/DINVB pins as specified in the &lt;variation_name&gt;_readme.txt file which is generated with your IP.
If “Data bus inversion” feature is turned off in Intel IP, connect it to GND on your board. 
</t>
  </si>
  <si>
    <t>Place on a DQ pin in the same bank as the read data. Intel IP does not use the QVLD pin. You may leave this pin unconnected on your board. You may not be able to fit these pins in a DQS group.</t>
  </si>
  <si>
    <t>Place on the corresponding DQS and DQSn pins of the DQ/DQS group.
The polarity of QKB/QKBn must be swapped. QKB pin on FPGA side must be placed on DQSn pin and QKBn on memory side must be placed on DQS pin.
 use the &lt;variation_name&gt;_readme.txt file which is generated with your IP as a guideline.</t>
  </si>
  <si>
    <t>Place DK pins in the same IO bank as the read clock (QK) pins &amp; DQ pins in that byte lane.  use the &lt;variation_name&gt;_readme.txt file which is generated with your IP as a guideline.
DK/DK# must use differential output-capable pins.</t>
  </si>
  <si>
    <t>Place it on CK/CKn pins as specified in the &lt;variation_name&gt;_readme.txt file which is generated with your IP.</t>
  </si>
  <si>
    <t>Intel does not check these but here are important recommendations for the clock source: 1) Use one of the recommended frequencies shown in the IP (IP General tab -&gt; Clocks), 2) Use a low jitter clock source. See the recommendations for Memory Output Clock Jitter  in the Intel Agilex 7 F-Series and I-Series Device Data Sheet</t>
  </si>
  <si>
    <t>Place it on A pins as specified in the &lt;variation_name&gt;_readme.txt file which is generated with your IP.</t>
  </si>
  <si>
    <t xml:space="preserve">Place it on AINV pin as specified in the &lt;variation_name&gt;_readme.txt file which is generated with your IP.
If “Address bus inversion” feature is turned off in Intel IP, connect it to GND on your board. </t>
  </si>
  <si>
    <t>Place it on AP pin as specified in the &lt;variation_name&gt;_readme.txt file which is generated with your IP.
If “Use address parity bit” feature is turned off in Intel IP, connect it to GND on your board.</t>
  </si>
  <si>
    <t xml:space="preserve">Place it on PE_N pin as specified in the &lt;variation_name&gt;_readme.txt file which is generated with your IP.
If “Use address parity bit” feature is turned off in Intel IP, you may leave this pin unconnected on your board.
</t>
  </si>
  <si>
    <t xml:space="preserve">Place it on Command pins as specified in the &lt;variation_name&gt;_readme.txt file which is generated with your IP.
</t>
  </si>
  <si>
    <t xml:space="preserve">Place the RESET_N signal as specified in the &lt;variation_name&gt;_readme.txt file which is generated with your IP.
</t>
  </si>
  <si>
    <t>Any user IO pin. The reset pin can alternatively be generated internally.</t>
  </si>
  <si>
    <t>Used when calibrated OCT for the memory interface pins is implemented.
Place it on RZQ pin as specified in the &lt;variation_name&gt;_readme.txt file which is generated with your IP.</t>
  </si>
  <si>
    <t>Default is series OCT 40-Ω with calibration.
You can change output mode to other termination value during IP generation.
Check the termination value in the .qip file which is generated with your IP.</t>
  </si>
  <si>
    <t>Use QDRIV ODT. Default is 25% of ZT. You can change it to ODT off or other termination value during IP generation.</t>
  </si>
  <si>
    <t>Default is parallel OCT 60-Ω with calibration.
You can change input mode to other termination value during IP generation.
Check the termination value in the .qip file which is generated with your IP.</t>
  </si>
  <si>
    <t>Use QDRIV Impedance Control. Default is 25% of ZT. You can change it to other drive value during IP generation.</t>
  </si>
  <si>
    <t xml:space="preserve">Use QDRIV ODT and Impedance Control. Default is 25% of ZT. You can change it to other value during IP generation.
</t>
  </si>
  <si>
    <t xml:space="preserve">Use Dynamic OCT which is parallel input termination with calibration and series output termination.
Default is series OCT 40-Ω with calibration and parallel OCT 60-Ω with calibration.
You can change output mode/input mode to other termination value during IP generation.
Check the termination value in the .qip file
which is generated with your IP.
</t>
  </si>
  <si>
    <t>Intel QDRIV SRAM interface does not use the QVLD signal. You can leave it unconnected on your board.</t>
  </si>
  <si>
    <t xml:space="preserve">Default is series OCT 40-Ω with calibration.
You can change output mode to other termination value during IP generation.
Check the termination value in the .qip file which is generated with your IP.
</t>
  </si>
  <si>
    <t>Default is series OCT 40-Ω with calibration.
You can change output mode to other termination value during IP generation.
Check the termination value in the .qip file which is generated with your IP.
If “Use address parity bit” feature is turned off in Intel IP, connect it to GND on your board.</t>
  </si>
  <si>
    <t>Default is parallel OCT 40-Ω with calibration.
You can change input mode to other termination value during IP generation.
Check the termination value in the .qip file which is generated with your IP.
If “Use address parity bit” feature is turned off in Intel IP, leave it unconnected on your board.</t>
  </si>
  <si>
    <t>Use 1.2V. 
Use a pull-down resistor to GND. 
Typical value is 10kΩ, but you should select a suitable value for your implementation.
Refer to the memory vendor’s QDRIV component data sheet for further information.</t>
  </si>
  <si>
    <t>Use a voltage regulator to generate this voltage.</t>
  </si>
  <si>
    <t>RZQ pin is connected to GND through an external 240-Ω±1% resistor. Refer to  Agilex 7 General Purpose I/O User Guide for the OCT impedance options for the desired OCT scheme.</t>
  </si>
  <si>
    <t xml:space="preserve">Place it on DQ pins of the DQ/DQS group. The order of the DQ bits within a designated DQ group/bus is not important. Place the DQA/DQB pins as specified in the &lt;variation_name&gt;_readme.txt file which is generated with your IP.
</t>
  </si>
  <si>
    <t>-</t>
  </si>
  <si>
    <t>Place on the corresponding DQS and DQSn pins of the DQ/DQS group. The polarity of QKB/QKBn must be swapped. QKB pin on FPGA side must be placed on DQSn pin and QKBn on memory side must be placed on DQS pin.
 use the &lt;variation_name&gt;_readme.txt file which is generated with your IP as a guideline.</t>
  </si>
  <si>
    <t>Used when calibrated OCT for the memory interface pins is implemented. Place it on RZQ pin as specified in the &lt;variation_name&gt;_readme.txt file which is generated with your IP.</t>
  </si>
  <si>
    <t>Default is series OCT 40-Ω with calibration. You can change output mode to other termination value during IP generation. Check the termination value in the .qip file which is generated with your IP.</t>
  </si>
  <si>
    <t>Default is parallel OCT 60-Ω with calibration. You can change input mode to other termination value during IP generation. Check the termination value in the .qip file which is generated with your IP.</t>
  </si>
  <si>
    <r>
      <t>Memory clocks(</t>
    </r>
    <r>
      <rPr>
        <sz val="11"/>
        <color rgb="FF000000"/>
        <rFont val="Intel Clear"/>
        <family val="2"/>
      </rPr>
      <t>CK/CKn</t>
    </r>
    <r>
      <rPr>
        <sz val="11"/>
        <color theme="1"/>
        <rFont val="Intel Clear"/>
        <family val="2"/>
      </rPr>
      <t>) @ FPGA</t>
    </r>
  </si>
  <si>
    <r>
      <t>Memory clocks(</t>
    </r>
    <r>
      <rPr>
        <sz val="11"/>
        <color rgb="FF000000"/>
        <rFont val="Intel Clear"/>
        <family val="2"/>
      </rPr>
      <t>CK/CKn</t>
    </r>
    <r>
      <rPr>
        <sz val="11"/>
        <color theme="1"/>
        <rFont val="Intel Clear"/>
        <family val="2"/>
      </rPr>
      <t>) @ Memory</t>
    </r>
  </si>
  <si>
    <t xml:space="preserve">Use Dynamic OCT which is parallel input termination with calibration and series output termination. Default is series OCT 40-Ω with calibration and parallel OCT 60-Ω with calibration. You can change output mode/input mode to other termination value during IP generation.
Check the termination value in the .qip file which is generated with your IP.
</t>
  </si>
  <si>
    <t xml:space="preserve">Default is series OCT 40-Ω with calibration. You can change output mode to other termination value during IP generation. Check the termination value in the .qip file which is generated with your IP.
</t>
  </si>
  <si>
    <t>Default is series OCT 40-Ω with calibration. You can change output mode to other termination value during IP generation. Check the termination value in the .qip file which is generated with your IP. If “Use address parity bit” feature is turned off in Intel IP, connect it to GND on your board.</t>
  </si>
  <si>
    <t>Default is parallel OCT 40-Ω with calibration. You can change input mode to other termination value during IP generation. Check the termination value in the .qip file which is generated with your IP.
If “Use address parity bit” feature is turned off in Intel IP, leave it unconnected on your board.</t>
  </si>
  <si>
    <t>Use 1.2V.  Use a pull-down resistor to GND. 
Typical value is 10kΩ, but you should select a suitable value for your implementation. Refer to the memory vendor’s QDRIV component data sheet for further information.</t>
  </si>
  <si>
    <t>HPS_CLK</t>
  </si>
  <si>
    <t>HPS_JTAG</t>
  </si>
  <si>
    <t>Valid Assignments</t>
  </si>
  <si>
    <t>HPS_IOB_9</t>
  </si>
  <si>
    <t>HPS_IOB_10</t>
  </si>
  <si>
    <t>HPS_IOB_11</t>
  </si>
  <si>
    <t>HPS_IOB_12</t>
  </si>
  <si>
    <t>HPS_GPIO</t>
  </si>
  <si>
    <t>HPS_IOA_[1..24]
HPS_IOB_[1..24]</t>
  </si>
  <si>
    <t>HPS_SDMMC</t>
  </si>
  <si>
    <t>HPS_NAND</t>
  </si>
  <si>
    <t>NAND Write Enable.
This is an active-low signal.</t>
  </si>
  <si>
    <t>NAND Read Enable.
This is an active-low signal.</t>
  </si>
  <si>
    <t>NAND Chip Enable.
This is an active-low signal.</t>
  </si>
  <si>
    <t>HPS_USB</t>
  </si>
  <si>
    <t>HPS_IOA_1</t>
  </si>
  <si>
    <t>HPS_IOA_2</t>
  </si>
  <si>
    <t>HPS_IOA_3</t>
  </si>
  <si>
    <t>HPS_IOA_4</t>
  </si>
  <si>
    <t>HPS_IOA_5</t>
  </si>
  <si>
    <t>HPS_IOA_6</t>
  </si>
  <si>
    <t>HPS_IOA_7</t>
  </si>
  <si>
    <t>HPS_IOA_8</t>
  </si>
  <si>
    <t>HPS_IOA_9</t>
  </si>
  <si>
    <t>HPS_IOA_10</t>
  </si>
  <si>
    <t>HPS_IOA_11</t>
  </si>
  <si>
    <t>HPS_IOA_12</t>
  </si>
  <si>
    <t>HPS_IOA_13</t>
  </si>
  <si>
    <t>HPS_IOA_14</t>
  </si>
  <si>
    <t>HPS_IOA_15</t>
  </si>
  <si>
    <t>HPS_IOA_16</t>
  </si>
  <si>
    <t>HPS_IOA_17</t>
  </si>
  <si>
    <t>HPS_IOA_18</t>
  </si>
  <si>
    <t>HPS_IOA_19</t>
  </si>
  <si>
    <t>HPS_IOA_20</t>
  </si>
  <si>
    <t>HPS_IOA_21</t>
  </si>
  <si>
    <t>HPS_IOA_22</t>
  </si>
  <si>
    <t>HPS_IOA_23</t>
  </si>
  <si>
    <t>HPS_IOA_24</t>
  </si>
  <si>
    <t>HPS_EMAC</t>
  </si>
  <si>
    <t>HPS_IOB_1</t>
  </si>
  <si>
    <t>HPS_IOB_2</t>
  </si>
  <si>
    <t>HPS_IOB_3</t>
  </si>
  <si>
    <t>HPS_IOB_4</t>
  </si>
  <si>
    <t>HPS_IOB_5</t>
  </si>
  <si>
    <t>HPS_IOB_6</t>
  </si>
  <si>
    <t>HPS_IOB_7</t>
  </si>
  <si>
    <t>HPS_IOB_8</t>
  </si>
  <si>
    <t>HPS_IOB_13</t>
  </si>
  <si>
    <t>HPS_IOB_14</t>
  </si>
  <si>
    <t>HPS_IOB_15</t>
  </si>
  <si>
    <t>HPS_IOB_16</t>
  </si>
  <si>
    <t>HPS_IOB_17</t>
  </si>
  <si>
    <t>HPS_IOB_18</t>
  </si>
  <si>
    <t>HPS_IOB_19</t>
  </si>
  <si>
    <t>HPS_IOB_20</t>
  </si>
  <si>
    <t>HPS_IOB_21</t>
  </si>
  <si>
    <t>HPS_IOB_22</t>
  </si>
  <si>
    <t>HPS_IOB_23</t>
  </si>
  <si>
    <t>HPS_IOB_24</t>
  </si>
  <si>
    <t>HPS_I2C</t>
  </si>
  <si>
    <t>HPS_SPI</t>
  </si>
  <si>
    <t>HPS_UART</t>
  </si>
  <si>
    <t>HPS_TRACE</t>
  </si>
  <si>
    <t>HPS_IOA_20
HPS_IOB_20</t>
  </si>
  <si>
    <t>HPS_IOA_21
HPS_IOB_21</t>
  </si>
  <si>
    <t>HPS_IOA_22
HPS_IOB_22</t>
  </si>
  <si>
    <t>HPS_IOA_23
HPS_IOB_23</t>
  </si>
  <si>
    <t>HPS_IOA_24
HPS_IOB_24</t>
  </si>
  <si>
    <t>HPS_IOA_19
HPS_IOA_7
HPS_IOB_19
HPS_IOB_7</t>
  </si>
  <si>
    <t>HPS_IOA_18
HPS_IOA_6
HPS_IOB_18
HPS_IOB_6</t>
  </si>
  <si>
    <t>HPS_IOA_17
HPS_IOA_5
HPS_IOB_17
HPS_IOB_5</t>
  </si>
  <si>
    <t>HPS_IOA_16
HPS_IOA_4
HPS_IOB_16
HPS_IOB_4</t>
  </si>
  <si>
    <t>HPS_IOA_15
HPS_IOA_3
HPS_IOB_15
HPS_IOB_3</t>
  </si>
  <si>
    <t>HPS_IOA_14
HPS_IOA_2
HPS_IOB_14
HPS_IOB_2</t>
  </si>
  <si>
    <t>HPS_IOA_13
HPS_IOA_1
HPS_IOB_13
HPS_IOB_1</t>
  </si>
  <si>
    <t>HPS_IOA_12
HPS_IOB_12</t>
  </si>
  <si>
    <t>HPS_IOA_11
HPS_IOB_11</t>
  </si>
  <si>
    <t>HPS_IOA_10
HPS_IOB_10</t>
  </si>
  <si>
    <t>HPS_IOA_9
HPS_IOB_9</t>
  </si>
  <si>
    <t>Output</t>
  </si>
  <si>
    <t>HPS_IOA_8
HPS_IOB_8</t>
  </si>
  <si>
    <t>Do Not Use (DNU).</t>
  </si>
  <si>
    <t>Do Not Use</t>
  </si>
  <si>
    <t>System Password</t>
  </si>
  <si>
    <t>Checklist Error</t>
  </si>
  <si>
    <t xml:space="preserve">DST </t>
  </si>
  <si>
    <t>PWR</t>
  </si>
  <si>
    <t>CLKPLL</t>
  </si>
  <si>
    <t>Sensor</t>
  </si>
  <si>
    <t>XCVR</t>
  </si>
  <si>
    <t>DNU_NC</t>
  </si>
  <si>
    <t>System Error</t>
  </si>
  <si>
    <t>Checklist Hints</t>
  </si>
  <si>
    <t>PWR_P-Tile</t>
  </si>
  <si>
    <t>SDMIO hints</t>
  </si>
  <si>
    <t>XCVR_P</t>
  </si>
  <si>
    <t>PWR_E-Tile</t>
  </si>
  <si>
    <t>XCVR_E</t>
  </si>
  <si>
    <t>PWR_R-Tile</t>
  </si>
  <si>
    <t>XCVR_F</t>
  </si>
  <si>
    <t>PWR_F-Tile</t>
  </si>
  <si>
    <t>XCVR_R</t>
  </si>
  <si>
    <t>PWR_HPS</t>
  </si>
  <si>
    <t>SmartVID</t>
  </si>
  <si>
    <t>Cannot find data in the database!</t>
  </si>
  <si>
    <t>No device selected</t>
  </si>
  <si>
    <t>This pin is not used</t>
  </si>
  <si>
    <t>Voltage sensors are not used</t>
  </si>
  <si>
    <t>Transceiver(s) is(are) not used</t>
  </si>
  <si>
    <t>EMIF is not enabled.</t>
  </si>
  <si>
    <t>HPS UART is not used</t>
  </si>
  <si>
    <t>Temperature sensors are not used</t>
  </si>
  <si>
    <t>HPS is not available in the selected device</t>
  </si>
  <si>
    <t>HPS is not used</t>
  </si>
  <si>
    <t>P-Tile is not available in the selected device.</t>
  </si>
  <si>
    <t>P-Tile is not available in the selected device</t>
  </si>
  <si>
    <t>DDR4 is not used.</t>
  </si>
  <si>
    <t>HPS JTAG is not used</t>
  </si>
  <si>
    <t>HPS Trace is not used</t>
  </si>
  <si>
    <t>P-Tile is not used</t>
  </si>
  <si>
    <t>Use this pin if you want to see whether FPGA has entered user mode.</t>
  </si>
  <si>
    <t>Use this pin if you are using CvP feature.</t>
  </si>
  <si>
    <t>Use this pin if you want to flag a SEU error.</t>
  </si>
  <si>
    <t>Use this pin if you want to cold reset HPS.</t>
  </si>
  <si>
    <t>Use this pin if you are using RSU feature and want to boot up to Factory Image directly.</t>
  </si>
  <si>
    <t>This pin is for catastrophic trip due to over temperature.</t>
  </si>
  <si>
    <t>E-Tile is not available in the selected device.</t>
  </si>
  <si>
    <t>E-Tile is not available in the selected device</t>
  </si>
  <si>
    <t>QDRIV is not used.</t>
  </si>
  <si>
    <t>HPS GPIO is not used</t>
  </si>
  <si>
    <t>E-Tile is not used</t>
  </si>
  <si>
    <t>R-Tile is not available in the selected device.</t>
  </si>
  <si>
    <t>F-Tile is not available in the selected device</t>
  </si>
  <si>
    <t>HPS SDMMC is not used</t>
  </si>
  <si>
    <t>F-Tile is not used</t>
  </si>
  <si>
    <t>F-Tile is not available in the selected device.</t>
  </si>
  <si>
    <t>R-Tile is not available in the selected device</t>
  </si>
  <si>
    <t>HPS NAND is not used</t>
  </si>
  <si>
    <t>R-Tile is not used</t>
  </si>
  <si>
    <t>HPS is not available in the selected device.</t>
  </si>
  <si>
    <t>HPS USB is not used</t>
  </si>
  <si>
    <t>HPS is not enabled from checklist.</t>
  </si>
  <si>
    <t xml:space="preserve">The selected VR is an Intel verified VR. </t>
  </si>
  <si>
    <t>HPS EMAC is not used</t>
  </si>
  <si>
    <t>HPS I2C is not used</t>
  </si>
  <si>
    <t>HPS SPI is not used</t>
  </si>
  <si>
    <t>Pin Functions</t>
  </si>
  <si>
    <t>CLK_[T,B]_2[A,B]_[0:1][p,n]
CLK_[T,B]_3[A,B]_[0:1][p,n]</t>
  </si>
  <si>
    <t>I/O, Clock Input</t>
  </si>
  <si>
    <t>I/O, Clock Output</t>
  </si>
  <si>
    <t>Do not drive signals into these pins.</t>
  </si>
  <si>
    <t>I3C</t>
  </si>
  <si>
    <t>SDMMC_PWR_ENA</t>
  </si>
  <si>
    <t>SDMMC_WRITE_PROTECT</t>
  </si>
  <si>
    <t>SDMMC_DATA_STROBE</t>
  </si>
  <si>
    <t>SDMMC_PU_PD_DATA2</t>
  </si>
  <si>
    <t>NAND_RB_N</t>
  </si>
  <si>
    <t>EMAC0_PPS0</t>
  </si>
  <si>
    <t>HPS_IOA_1
HPS_IOB_1</t>
  </si>
  <si>
    <t>EMAC0_PPSTRIG0</t>
  </si>
  <si>
    <t>HPS_IOA_2
HPS_IOB_2</t>
  </si>
  <si>
    <t>EMAC1_PPS1</t>
  </si>
  <si>
    <t>EMAC1_PPSTRIG1</t>
  </si>
  <si>
    <t>EMAC2_PPS2</t>
  </si>
  <si>
    <t>EMAC2_PPSTRIG2</t>
  </si>
  <si>
    <t>HPS_IOA_5
HPS_IOB_5</t>
  </si>
  <si>
    <t>HPS_IOA_6
HPS_IOB_6</t>
  </si>
  <si>
    <t>HPS_I3C</t>
  </si>
  <si>
    <t>HPS I3C</t>
  </si>
  <si>
    <t>HPS I3C is not used</t>
  </si>
  <si>
    <t>HVIO_5[A,B]_[1:20]
HVIO_6[A,B,C,D,E,F,G,H]_[1:20]</t>
  </si>
  <si>
    <t>I/O</t>
  </si>
  <si>
    <t>HVIO_OPT_FUNC</t>
  </si>
  <si>
    <t>PLLREFCLK[1,2]</t>
  </si>
  <si>
    <t>SOURCE_SYNC_CLK[1,2]</t>
  </si>
  <si>
    <t>TXCLK[1:20]</t>
  </si>
  <si>
    <t>RXCLK[1:4]</t>
  </si>
  <si>
    <t>Data_Ctrl[1:20]</t>
  </si>
  <si>
    <t>Input/Output</t>
  </si>
  <si>
    <t>HVIO</t>
  </si>
  <si>
    <t>HVIO Optional Function Pins are not used</t>
  </si>
  <si>
    <t>HVIO Optional Function Pins</t>
  </si>
  <si>
    <t>AC or DC coupled. Clock driver must be compatible with input requirement in DC coupling case.
Tie to GND if these pins are not used.</t>
  </si>
  <si>
    <t>AC or DC coupled.
Tie to GND if these pins are not used.</t>
  </si>
  <si>
    <t>GTS transceiver input pins.
For more information about the supported pins, refer to the device pin-out file.</t>
  </si>
  <si>
    <t>GTS transceiver output pins.
For more information about the supported pins, refer to the device pin-out file.</t>
  </si>
  <si>
    <t>AVST_DATA[15:0]</t>
  </si>
  <si>
    <t>Reference resistor input for the PLLs of the SDM interface.</t>
  </si>
  <si>
    <t>Connect this pin to the nCS input of the third QSPI flash device when you use cascaded QSPI flash devices for HPS application and with Mailbox Client IP or HPS as data storage.</t>
  </si>
  <si>
    <t>Connect this pin to the nCS input of the fourth QSPI flash device when you use cascaded QSPI flash devices for HPS application and with Mailbox Client IP or HPS as data storage.</t>
  </si>
  <si>
    <t>Connect this pin to the nCS input of the second QSPI flash device when you use cascaded QSPI flash devices for HPS application and with Mailbox Client IP or HPS as data storage.</t>
  </si>
  <si>
    <t>DM/DBI_n</t>
  </si>
  <si>
    <t>Check the latest pin-out rules for sharing resources between multiple interfaces in the same IO row including:
- Sharing of byte lanes within a sub-bank for two different EMIF interfaces is not permitted
- The sharing of PLL reference clocks across multiple interfaces is permitted; however, pin indices 0 and 1 of lane 2 of the address and command sub-bank for all slave EMIF interfaces can be used only for supplying reference clocks.
-The sharing of RZQ pins is not permitted.</t>
  </si>
  <si>
    <t>Multiple DDR4 IP placed in an IO row</t>
  </si>
  <si>
    <t xml:space="preserve">Use series output termination with calibration.  </t>
  </si>
  <si>
    <t>Use series output termination with calibration, and parallel input termination with calibration.</t>
  </si>
  <si>
    <t>True Differential Signaling clock
It is the designer’s responsibility to check that the DDR4 IP PLL reference clock meets the electrical specifications and has good signal integrity. Intel does not check this.</t>
  </si>
  <si>
    <t>DIMM - Fly by termination scheme. Address signals are already terminated on the DIMM. No need to put any termination on the board.
Discrete Device – Fly by termination scheme. Terminated at the device.</t>
  </si>
  <si>
    <t>Use serial output termination with calibration.</t>
  </si>
  <si>
    <t>Command [CKE, ODT, CS_N, ACT_n, PAR] @ Memory</t>
  </si>
  <si>
    <t>Use an external pullup resistor (typically 1 kΩ) to VDD (1.2 V).</t>
  </si>
  <si>
    <t>Termination with calibration.</t>
  </si>
  <si>
    <t>Use a voltage regulator to generate this voltage.
Typically DDR4 DIMMS have decoupling capacitors connected between VTT and VDD (1.2 V), and it is recommended that designers follow this approach.</t>
  </si>
  <si>
    <t>RZQ pin is connected to the GND through an external 240 Ω resistor. Use the value specified in the IP.</t>
  </si>
  <si>
    <t>Clock_source</t>
  </si>
  <si>
    <t>DMI</t>
  </si>
  <si>
    <t>Address [CA]</t>
  </si>
  <si>
    <t>Command [CS]</t>
  </si>
  <si>
    <t>DQS @ Memory
DQ @ Memory
DMI @ Memory</t>
  </si>
  <si>
    <t>DQS @ FPGA</t>
  </si>
  <si>
    <t>Use parallel input termination with calibration.</t>
  </si>
  <si>
    <t>DQ @ FPGA
DMI @ FPGA</t>
  </si>
  <si>
    <t>Use series input termination with calibration, and parallel input termination with calibration.</t>
  </si>
  <si>
    <t>Address [CA] @ Memory</t>
  </si>
  <si>
    <t>Discrete Device – Fly by termination scheme. Terminated at the device.</t>
  </si>
  <si>
    <t>Address [CA] @ FPGA</t>
  </si>
  <si>
    <t>RZQ pin is connected to the GND through an external 240 Ω resistor.</t>
  </si>
  <si>
    <t>ODT_CA@Memory</t>
  </si>
  <si>
    <t>Command [CS_N] @ Memory</t>
  </si>
  <si>
    <t>Command [CS_N] @ FPGA</t>
  </si>
  <si>
    <t>LPDDR4</t>
  </si>
  <si>
    <t>DM</t>
  </si>
  <si>
    <t>Command [CS_N]</t>
  </si>
  <si>
    <t>Reset for DDR5 Memory</t>
  </si>
  <si>
    <t>Only valid in RDIMM implementations 
– i3c_i3c_scl and i3c_i3c_sda need to be placed in the same AC lane as channel 0(mem_0)</t>
  </si>
  <si>
    <t>A_LBD_RSP_N/B_LBD_RSP_N
A_LBS_RSP_N/B_LBS_RSP_N</t>
  </si>
  <si>
    <t>Check the latest pin-out rules for sharing resources between multiple interfaces in the same IO row including:
-Sharing of I/O lanes within a sub-bank for two different EMIF interfaces is not permitted
- Sharing of PLL reference clocks across multiple DDR5 interfaces is permitted within an I/O bank
- Sharing of RZQ across multiple DDR5 interfaces is permitted within an I/O bank</t>
  </si>
  <si>
    <t>Multiple DDR5 IP placed in an IO row</t>
  </si>
  <si>
    <t>DDR5</t>
  </si>
  <si>
    <t>Use ODT</t>
  </si>
  <si>
    <t>DQS @ Memory
DQ @ Memory
DM @ Memory</t>
  </si>
  <si>
    <t>DQS @ FPGA
DQ @ FPGA</t>
  </si>
  <si>
    <t>DM @ FPGA</t>
  </si>
  <si>
    <t>Use series output termination with calibration</t>
  </si>
  <si>
    <t>True Differential Signaling clock:
It is the designer’s responsibility to check that the DDR5 IP PLL reference clock meets the electrical specifications and has good signal integrity. Intel does not check this.</t>
  </si>
  <si>
    <t>Command [CS_n] @ Memory</t>
  </si>
  <si>
    <t>Command [CS_n] @ FPGA</t>
  </si>
  <si>
    <t>Use 1.1 V I/O standard to meet the 1.1 V CMOS logic levels on the DDR5 device or DIMM.
It is not recommended to terminate this reset to Vtt.</t>
  </si>
  <si>
    <t>Use an external pullup resistor (typically 1 kΩ) to VDD (1.1 V).</t>
  </si>
  <si>
    <t>PMIC</t>
  </si>
  <si>
    <t>Currently all Intel characterization for discrete interfaces uses a PMIC.  Customer should follow Intel devkit usage.</t>
  </si>
  <si>
    <t>CA_ODT</t>
  </si>
  <si>
    <t xml:space="preserve">RZQ pin is connected to the GND through an external 240 Ω resistor. Use the value specified in the IP. </t>
  </si>
  <si>
    <t>Read Data strobe – RDQS_c/RDQS_t</t>
  </si>
  <si>
    <t>mem_clk_c and mem_clk_t</t>
  </si>
  <si>
    <t>WCK_t/WCK_C</t>
  </si>
  <si>
    <t>Reset for LPDDR5 Memory</t>
  </si>
  <si>
    <t>Reset for LPDDR5 controller</t>
  </si>
  <si>
    <t>Check the latest pin-out rules for sharing resources between multiple interfaces in the same IO row including:
-Sharing of I/O lanes within a sub-bank for two different EMIF interfaces is not permitted
- Sharing of PLL reference clocks across multiple LPDDR5 interfaces is permitted within an I/O bank
- Sharing of RZQ across multiple LPDDR5 interfaces is permitted within an I/O bank</t>
  </si>
  <si>
    <t>Multiple LPDDR5 IP placed in an IO row</t>
  </si>
  <si>
    <t>LPDDR5</t>
  </si>
  <si>
    <t>RDQS @ Memory
DQ @ Memory
DMI @ Memory</t>
  </si>
  <si>
    <t>RDQS @ FPGA</t>
  </si>
  <si>
    <t>WCK_t/WCK_C @ FPGA</t>
  </si>
  <si>
    <t>LPDDR4 Interface Pins</t>
  </si>
  <si>
    <t>LPDDR4 Termination Guidelines</t>
  </si>
  <si>
    <t>LPDDR4 is not used.</t>
  </si>
  <si>
    <t>DDR5 is not used.</t>
  </si>
  <si>
    <t>LPDDR5 is not used.</t>
  </si>
  <si>
    <t>VREFP_ADC</t>
  </si>
  <si>
    <t>Dedicated precision analog voltage reference.</t>
  </si>
  <si>
    <t>VREFN_ADC</t>
  </si>
  <si>
    <t>TEMPDIODE0A[p,n]</t>
  </si>
  <si>
    <t>Configuration will fail if the regulator chosen is not supported by the Intel Agilex 7 device firmware. Please refer to VR datasheet, Intel® Agilex™ 7 Power Management User Guide: F-Series and I-Series and AN 974 to check whether your VR is compatible with SmartVID feature. You can find link to documents in the "Document Links" section.</t>
  </si>
  <si>
    <t>2A</t>
  </si>
  <si>
    <t>2B</t>
  </si>
  <si>
    <t>Voltage rail sense.</t>
  </si>
  <si>
    <t>VCCIO_PIO voltage rail sense line.</t>
  </si>
  <si>
    <t>Configuration pins power supply.</t>
  </si>
  <si>
    <t>SDM block PLL power pins.</t>
  </si>
  <si>
    <t>SDM power supply.</t>
  </si>
  <si>
    <t>Device ground pins.</t>
  </si>
  <si>
    <t>ADC power pin for the voltage sensors.</t>
  </si>
  <si>
    <t>VCCPT_HVIO</t>
  </si>
  <si>
    <t>VCCIO_HVIO</t>
  </si>
  <si>
    <t>VCC_IO_SDM</t>
  </si>
  <si>
    <t>GTS</t>
  </si>
  <si>
    <t>VCCL_HPS_CORE0_CORE1</t>
  </si>
  <si>
    <t>Supply analog power to the main HPS PLLs.</t>
  </si>
  <si>
    <t>Digital power supply of the peripheral HPS PLLs.</t>
  </si>
  <si>
    <t>Data Source from ANXXX TBL8. / TBL9.</t>
  </si>
  <si>
    <t>Bottom-side Capacitors</t>
  </si>
  <si>
    <t>FPGA Periphery Capacitors</t>
  </si>
  <si>
    <t>Merged VCC and VCCP</t>
  </si>
  <si>
    <t>2x 4.7uF 0402</t>
  </si>
  <si>
    <t>VR vendors capacitors recommendation must be compiled.</t>
  </si>
  <si>
    <t>4x 10uF 0402</t>
  </si>
  <si>
    <t>FPGA/HPS</t>
  </si>
  <si>
    <t>1x 22uF 0603</t>
  </si>
  <si>
    <t>VCCL_HPS_CORE</t>
  </si>
  <si>
    <t>1x 1uF 0201</t>
  </si>
  <si>
    <t>FPGA</t>
  </si>
  <si>
    <t>2x 4.7uF 0201</t>
  </si>
  <si>
    <t>1x 10uF 0402</t>
  </si>
  <si>
    <t>FPGA/PIO</t>
  </si>
  <si>
    <t>Per IO bank</t>
  </si>
  <si>
    <t>FPGA/SDM</t>
  </si>
  <si>
    <t>2x 1uF 0201</t>
  </si>
  <si>
    <t>1x 4.7uF 0402</t>
  </si>
  <si>
    <t>FPGA/HVIO</t>
  </si>
  <si>
    <t>FPGA/GTS</t>
  </si>
  <si>
    <t>VCC_HSSI</t>
  </si>
  <si>
    <t>VCCERT_GTS</t>
  </si>
  <si>
    <t>VCCEHT_GTS</t>
  </si>
  <si>
    <t>FIX5</t>
  </si>
  <si>
    <t>FIX6</t>
  </si>
  <si>
    <t>DCP</t>
  </si>
  <si>
    <t>Regional reference clock input pins for GTS transceiver banks.
For more information about the supported pins, refer to the device pin-out file.</t>
  </si>
  <si>
    <t>Connect this output pin to an external logic device that monitors the CvP operation. The VCCIO_SDM power supply must meet the input voltage specification of the receiving side.</t>
  </si>
  <si>
    <t>Use HVIO Optional Function Pins?</t>
  </si>
  <si>
    <t>HSIO</t>
  </si>
  <si>
    <t>HSIO Pins</t>
  </si>
  <si>
    <t>I/O, RX/TX channel</t>
  </si>
  <si>
    <t>HVIO Pins</t>
  </si>
  <si>
    <t>GPIO_RZQ</t>
  </si>
  <si>
    <t>RZQ_[T,B]_2[A,B]
RZQ_[T,B]_3[A,B]</t>
  </si>
  <si>
    <t>When using OCT, tie these pins to GND through a 240-Ω resistor.
When you do not use these pins as dedicated input for the external precision resistor or as I/O pins, leave these pins unconnected.</t>
  </si>
  <si>
    <t>SDMMC Power Enable. Device bus power. Control switch to turn power on or off to the card. Optional.</t>
  </si>
  <si>
    <t>NAND_DQS</t>
  </si>
  <si>
    <t>NAND Write Protect.
This is an active-low signal.</t>
  </si>
  <si>
    <t>INDUSTRIAL</t>
  </si>
  <si>
    <t>Details</t>
  </si>
  <si>
    <t>1. Switch to the "DevSel" tab.</t>
  </si>
  <si>
    <t>3. Begin reviewing the schematic by clicking the "Go to Checklist" button (section D in the figure).</t>
  </si>
  <si>
    <t>1. Switch to the "Checklist" tab.</t>
  </si>
  <si>
    <t>2. Adjust the global settings (section F in the figure) according to the actual use cases.</t>
  </si>
  <si>
    <t>6. Select the review status from the dropdown list in the "Status (User Input)" column (section J in the figure).</t>
  </si>
  <si>
    <t>Global Settings</t>
  </si>
  <si>
    <t>PLL_[2][A,B]_[T,B]_FB[0:1]
PLL_[3][A,B]_[T,B]_FB[0:1]</t>
  </si>
  <si>
    <t>PLL_[2][A,B]_[T,B]_CLKOUT[0:1][p,n]
PLL_[3][A,B]_[T,B]_CLKOUT[0:1][p,n]</t>
  </si>
  <si>
    <t>Group 1: HPS_IOA_3
Group 2: HPS_IOB_3</t>
  </si>
  <si>
    <t>Group 1: HPS_IOA_8
Group 2: HPS_IOB_8</t>
  </si>
  <si>
    <t>Group 1: HPS_IOA_1
Group 2: HPS_IOB_1</t>
  </si>
  <si>
    <t>Group 1: HPS_IOA_2
Group 2: HPS_IOB_2</t>
  </si>
  <si>
    <t>Group 1: HPS_IOA_6
Group 2: HPS_IOB_6</t>
  </si>
  <si>
    <t>Group 1: HPS_IOA_7
Group 2: HPS_IOB_7</t>
  </si>
  <si>
    <t>Group 1: HPS_IOA_9
Group 2: HPS_IOB_9</t>
  </si>
  <si>
    <t>Group 1: HPS_IOA_10
Group 2: HPS_IOB_10</t>
  </si>
  <si>
    <t>Group 1: HPS_IOA_11
Group 2: HPS_IOB_11</t>
  </si>
  <si>
    <t>Group 1: HPS_IOA_12
Group 2: HPS_IOB_12</t>
  </si>
  <si>
    <t>Group 1: HPS_IOA_14
Group 2: HPS_IOB_14</t>
  </si>
  <si>
    <t>Group 1: HPS_IOA_5
Group 2: HPS_IOB_5</t>
  </si>
  <si>
    <t>Group 1: HPS_IOA_16
Group 2: HPS_IOB_16</t>
  </si>
  <si>
    <t>SDMMC pull-up/pull-down for pin DATA2. Used for 1.8 V operation without a level shifter, and LVSI compatible cards.</t>
  </si>
  <si>
    <t>Group 1: HPS_IOA_13
Group 2: HPS_IOB_13</t>
  </si>
  <si>
    <t>Group 1: HPS_IOA_4
Group 2: HPS_IOB_4</t>
  </si>
  <si>
    <t>NAND Command Latch Enable.
This is an active-high signal.</t>
  </si>
  <si>
    <t>NAND Address Latch Enable.
This is an active-high signal.</t>
  </si>
  <si>
    <t>Group 1: HPS_IOA_15
Group 2: HPS_IOB_15</t>
  </si>
  <si>
    <t>Group 1: HPS_IOA_17
Group 2: HPS_IOB_17</t>
  </si>
  <si>
    <t>Group 1: HPS_IOA_18
Group 2: HPS_IOB_18</t>
  </si>
  <si>
    <t>Group 1: HPS_IOA_19
Group 2: HPS_IOB_19</t>
  </si>
  <si>
    <t>Group 1: HPS_IOA_20
Group 2: HPS_IOB_20</t>
  </si>
  <si>
    <t>Group 1: HPS_IOA_21
Group 2: HPS_IOB_21</t>
  </si>
  <si>
    <t>Group 1: HPS_IOA_22
Group 2: HPS_IOB_22</t>
  </si>
  <si>
    <t>Group 1: HPS_IOA_23
Group 2: HPS_IOB_23</t>
  </si>
  <si>
    <t>Group 1: HPS_IOA_24
Group 2: HPS_IOB_24</t>
  </si>
  <si>
    <t>Group 1: HPS_IOA_7 
Group 2: HPS_IOB_9 
Group 3: HPS_IOB_21
The I2C protocol requires pull-up resistors to VCCIO_HPS on both the serial data and serial clock signals for them to function correctly. The value of the pull-up resistor varies depending on your board loading, but it is typically 4.7-kΩ.</t>
  </si>
  <si>
    <t>Group 1: HPS_IOA_8 
Group 2: HPS_IOB_10 
Group 3: HPS_IOB_22
The I2C protocol requires pull-up resistors to VCCIO_HPS on both the serial data and serial clock signals for them to function correctly. The value of the pull-up resistor varies depending on your board loading, but it is typically 4.7-kΩ.</t>
  </si>
  <si>
    <t>Group 1: HPS_IOA_9 
Group 2: HPS_IOB_19 
Group 3: -
The I2C protocol requires pull-up resistors to VCCIO_HPS on both the serial data and serial clock signals for them to function correctly. The value of the pull-up resistor varies depending on your board loading, but it is typically 4.7-kΩ.</t>
  </si>
  <si>
    <t>Group 1: HPS_IOA_10 
Group 2: HPS_IOB_20 
Group 3: -
The I2C protocol requires pull-up resistors to VCCIO_HPS on both the serial data and serial clock signals for them to function correctly. The value of the pull-up resistor varies depending on your board loading, but it is typically 4.7-kΩ.</t>
  </si>
  <si>
    <t>Group 1: HPS_IOA_11 
Group 2: HPS_IOB_11 
Group 3: HPS_IOB_23
The I2C protocol requires pull-up resistors to VCCIO_HPS on both the serial data and serial clock signals for them to function correctly. The value of the pull-up resistor varies depending on your board loading, but it is typically 4.7-kΩ.</t>
  </si>
  <si>
    <t>Group 1: HPS_IOA_12 
Group 2: HPS_IOB_12 
Group 3: HPS_IOB_24
The I2C protocol requires pull-up resistors to VCCIO_HPS on both the serial data and serial clock signals for them to function correctly. The value of the pull-up resistor varies depending on your board loading, but it is typically 4.7-kΩ.</t>
  </si>
  <si>
    <t>Group 1: HPS_IOA_11 
Group 2: HPS_IOB_11 
Group 3: HPS_IOB_23
Typically the MDIO pin requires an external pull-up resistor to VCCIO_HPS in the range of 1.0-kΩ to 4.7-kΩ.</t>
  </si>
  <si>
    <t>Group 1: HPS_IOA_12 
Group 2: HPS_IOB_12 
Group 3: HPS_IOB_24
Typically the MDIO pin requires an external pull-up resistor to VCCIO_HPS in the range of 1.0-kΩ to 4.7-kΩ.</t>
  </si>
  <si>
    <t>Group 1: HPS_IOA_9 
Group 2: HPS_IOB_19 
Group 3: -
Typically the MDIO pin requires an external pull-up resistor to VCCIO_HPS in the range of 1.0-kΩ to 4.7-kΩ.</t>
  </si>
  <si>
    <t>Group 1: HPS_IOA_10 
Group 2: HPS_IOB_20 
Group 3: -
Typically the MDIO pin requires an external pull-up resistor to VCCIO_HPS in the range of 1.0-kΩ to 4.7-kΩ.</t>
  </si>
  <si>
    <t>Group 1: HPS_IOA_7
Group 2: HPS_IOB_9 
Group 3: -
Typically the MDIO pin requires an external pull-up resistor to VCCIO_HPS in the range of 1.0-kΩ to 4.7-kΩ.</t>
  </si>
  <si>
    <t>Group 1: HPS_IOA_8 
Group 2: HPS_IOB_10 
Group 3: -
Typically the MDIO pin requires an external pull-up resistor to VCCIO_HPS in the range of 1.0-kΩ to 4.7-kΩ.</t>
  </si>
  <si>
    <t>Group 1: HPS_IOA_5 
Group 2: HPS_IOB_21 
Group 3: HPS_IOB_21</t>
  </si>
  <si>
    <t>Group 1: HPS_IOA_6 
Group 2: HPS_IOB_22 
Group 3: HPS_IOB_22</t>
  </si>
  <si>
    <t>Group 1: HPS_IOA_7 
Group 2: HPS_IOB_19 
Group 3: HPS_IOB_23</t>
  </si>
  <si>
    <t>Group 1: HPS_IOA_8 
Group 2: HPS_IOB_20 
Group 3: HPS_IOB_24</t>
  </si>
  <si>
    <t>Group 1: HPS_IOA_1 
Group 2: HPS_IOB_18 
Group 3: HPS_IOB_18</t>
  </si>
  <si>
    <t>Group 1: HPS_IOA_9 
Group 2: HPS_IOA_21 
Group 3: HPS_IOB_1</t>
  </si>
  <si>
    <t>Group 1: HPS_IOA_10 
Group 2: HPS_IOA_22 
Group 3: HPS_IOB_2</t>
  </si>
  <si>
    <t>Group 1: HPS_IOA_11 
Group 2: HPS_IOA_23 
Group 3: HPS_IOB_3</t>
  </si>
  <si>
    <t>Group 1: HPS_IOA_12 
Group 2: HPS_IOA_24 
Group 3: HPS_IOB_4</t>
  </si>
  <si>
    <t>Group 1: HPS_IOA_2 
Group 2: HPS_IOA_20 
Group 3: HPS_IOB_5</t>
  </si>
  <si>
    <t>Group 1: HPS_IOA_1 
Group 2: HPS_IOA_21 
Group 3: HPS_IOB_9</t>
  </si>
  <si>
    <t>Group 1: HPS_IOA_2 
Group 2: HPS_IOA_22 
Group 3: HPS_IOB_10</t>
  </si>
  <si>
    <t>Group 1: HPS_IOA_4 
Group 2: HPS_IOA_24 
Group 3: HPS_IOB_12</t>
  </si>
  <si>
    <t>Group 1: HPS_IOA_3 
Group 2: HPS_IOA_23 
Group 3: HPS_IOB_11</t>
  </si>
  <si>
    <t>Group 1: HPS_IOA_9 
Group 2: HPS_IOB_5 
Group 3: HPS_IOB_21</t>
  </si>
  <si>
    <t>Group 1: HPS_IOA_10 
Group 2: HPS_IOB_6 
Group 3: HPS_IOB_22</t>
  </si>
  <si>
    <t>Group 1: HPS_IOA_12 
Group 2: HPS_IOB_8 
Group 3: HPS_IOB_24</t>
  </si>
  <si>
    <t>Group 1: HPS_IOA_11 
Group 2: HPS_IOB_7 
Group 3: HPS_IOB_23</t>
  </si>
  <si>
    <t>Group 1: HPS_IOA_1 
Group 2: HPS_IOA_21 
Group 3: HPS_IOB_1</t>
  </si>
  <si>
    <t>Group 1: HPS_IOA_2 
Group 2: HPS_IOA_22 
Group 3: HPS_IOB_2</t>
  </si>
  <si>
    <t>Group 1: HPS_IOA_3 
Group 2: HPS_IOA_23 
Group 3: HPS_IOB_3</t>
  </si>
  <si>
    <t>Group 1: HPS_IOA_4 
Group 2: HPS_IOA_24 
Group 3: HPS_IOB_4</t>
  </si>
  <si>
    <t>Group 1: HPS_IOA_5 
Group 2: HPS_IOB_5 
Group 3: HPS_IOB_17</t>
  </si>
  <si>
    <t>Group 1: HPS_IOA_6 
Group 2: HPS_IOB_6 
Group 3: HPS_IOB_18</t>
  </si>
  <si>
    <t>Group 1: HPS_IOA_7 
Group 2: HPS_IOB_7 
Group 3: HPS_IOB_15</t>
  </si>
  <si>
    <t>Group 1: HPS_IOA_8 
Group 2: HPS_IOB_8 
Group 3: HPS_IOB_16</t>
  </si>
  <si>
    <t>WARNING</t>
  </si>
  <si>
    <t>PWRMGT_SCL and PWRMGT_SDA output pin MUST be both configured together.</t>
  </si>
  <si>
    <t>Use this pin if you are using PMBus slave mode for SmartVID.</t>
  </si>
  <si>
    <t>Use this pin if you want to see whether FPGA configuration has completed.</t>
  </si>
  <si>
    <t>DDR5 Interface Pins</t>
  </si>
  <si>
    <t>LPDDR5 Interface Pins</t>
  </si>
  <si>
    <t>The CvP_CONFDONE pin indicates the device has received the complete bitstream during configuration via protocol (CvP) core image configuration.
When used for this purpose, enable this pin using the Quartus Prime software.</t>
  </si>
  <si>
    <t>The SEU_ERROR pin drives high to indicate there is an SEU error message inside the SEU error queue. This pin stays high whenever the error message queue contains one or more error messages.
The SEU_ERROR signal goes low only when the SEU error message queue is empty. When used for this purpose, enable this pin using the Quartus Prime software.</t>
  </si>
  <si>
    <t>Connect unused pins as defined in the Quartus Prime software.</t>
  </si>
  <si>
    <t>Provide a single-ended external clock source to this pin.
Connect unused pins as defined in the Quartus Prime software.</t>
  </si>
  <si>
    <t>Reference clock input pins for system PLL in the GTS transceiver banks. You can also use the system PLL for the core fabric if it is unused by the GTS transceiver.</t>
  </si>
  <si>
    <t>Dual-purpose pin functions as user I/O pin or PCIe* platform reset pin. Two reset pins available for each GTS bank, select either one of the pins.
When used as PCIe platform reset, connect this pin to the system PCIe nPERST signal. When the pin is low, the transceivers are in reset. When the pin is high, the transceivers are out of reset.</t>
  </si>
  <si>
    <t>Transmit clock. These pins can be used as RGMII transmit clock when you have RGMII interface connected with HVIO bank on board.</t>
  </si>
  <si>
    <t>Reference clock input pins for the fabric core.</t>
  </si>
  <si>
    <t>Data and control signal. These pins can be used as RGMII data and control signal when you have RGMII interface connected with HVIO bank on board.</t>
  </si>
  <si>
    <t>When these pins are used as RGMII receive data (RXD) or RGMII transmit data (TXD), you must assign the 4 pins for RXD or TXD in groups of 4. For example, [1:4], [5:8], [9:12], [13:16], and [17:20].
Connect unused pins as defined in the Quartus Prime software.</t>
  </si>
  <si>
    <t>AC or DC coupled.
Leave unused pins floating.</t>
  </si>
  <si>
    <t>LISTED</t>
  </si>
  <si>
    <t>896A</t>
  </si>
  <si>
    <t>SM43</t>
  </si>
  <si>
    <t>SDMMC clock out.</t>
  </si>
  <si>
    <t>SDMMC command line.
Pull this pin high on the board with a weak pull-up resistor.
For example, a 10-kΩ to VCCIO_HPS.</t>
  </si>
  <si>
    <t>SDMMC Data 0.</t>
  </si>
  <si>
    <t>SDMMC Data 1.</t>
  </si>
  <si>
    <t>SDMMC Data 5.</t>
  </si>
  <si>
    <t>SDMMC Data 6.</t>
  </si>
  <si>
    <t>SDMMC Data Strobe.</t>
  </si>
  <si>
    <t>NAND Data Bit 4.</t>
  </si>
  <si>
    <t>NAND Data Bit 5.</t>
  </si>
  <si>
    <t>NAND Data Bit 6.</t>
  </si>
  <si>
    <t>Group 1: HPS_IOA_5 
Group 2: HPS_IOA_23 
Group 3: HPS_IOB_3 
Group 4: -
The I2C protocol requires pull-up resistors to VCCIO_HPS on both the serial data and serial clock signals for them to function correctly. The value of the pull-up resistor varies depending on your board loading, but it is typically 4.7 kΩ or lower.</t>
  </si>
  <si>
    <t>Group 1: HPS_IOA_6 
Group 2: HPS_IOA_24 
Group 3: HPS_IOB_4 
Group 4: -
The I2C protocol requires pull-up resistors to VCCIO_HPS on both the serial data and serial clock signals for them to function correctly. The value of the pull-up resistor varies depending on your board loading, but it is typically 4.7 kΩ or lower.</t>
  </si>
  <si>
    <t>Group 1: HPS_IOA_3 
Group 2: HPS_IOA_21 
Group 3: HPS_IOB_7 
Group 4: HPS_IOB_13
The I2C protocol requires pull-up resistors to VCCIO_HPS on both the serial data and serial clock signals for them to function correctly. The value of the pull-up resistor varies depending on your board loading, but it is typically 4.7 kΩ or lower.</t>
  </si>
  <si>
    <t>Group 1: HPS_IOA_4 
Group 2: HPS_IOA_22 
Group 3: HPS_IOB_8 
Group 4: HPS_IOB_14
The I2C protocol requires pull-up resistors to VCCIO_HPS on both the serial data and serial clock signals for them to function correctly. The value of the pull-up resistor varies depending on your board loading, but it is typically 4.7 kΩ or lower.</t>
  </si>
  <si>
    <t>SPIM0 Master Out Slave In.</t>
  </si>
  <si>
    <t>SPIM0 Master In Slave Out.</t>
  </si>
  <si>
    <t>SPIM0 Slave Select 0.
This is an active-low signal.</t>
  </si>
  <si>
    <t>SPIM0 Slave Select 1.
This is an active-low signal.</t>
  </si>
  <si>
    <t>SPIM1 Clock.</t>
  </si>
  <si>
    <t>SPIM1 Master Out Slave In.</t>
  </si>
  <si>
    <t>SPIM1 Slave Select 0.
This is an active-low signal.</t>
  </si>
  <si>
    <t>SPIM1 Slave Select 1.
This is an active-low signal.</t>
  </si>
  <si>
    <t>SPIS0 Master Out Slave In.</t>
  </si>
  <si>
    <t>SPIS0 Master In Slave Out.</t>
  </si>
  <si>
    <t>SPIS0 Slave Select 0.
This is an active-low signal.</t>
  </si>
  <si>
    <t>SPIS1 Clock.</t>
  </si>
  <si>
    <t>SPIS1 Master In Slave Out.</t>
  </si>
  <si>
    <t>SPIS1 Slave Select 0.
This is an active-low signal.</t>
  </si>
  <si>
    <t>UART0 Clear to Send.
This is an active-low signal.</t>
  </si>
  <si>
    <t>UART0 Request to Send.
This is an active-low signal.</t>
  </si>
  <si>
    <t>UART1 Clear to Send.
This is an active-low signal.</t>
  </si>
  <si>
    <t>UART1 Request to Send.
This is an active-low signal.</t>
  </si>
  <si>
    <t>UART1 Transmit.</t>
  </si>
  <si>
    <t>UART1 Receive.</t>
  </si>
  <si>
    <t>Trace Clock.</t>
  </si>
  <si>
    <t>Version</t>
  </si>
  <si>
    <t>Initial public release.</t>
  </si>
  <si>
    <t>Prerequisite</t>
  </si>
  <si>
    <t>1. Unblock the file in the “Properties” window.</t>
  </si>
  <si>
    <t>2. Select “Enable Content” or “Enable Editing” for warning messages.</t>
  </si>
  <si>
    <t>Step 1 - Select a Device</t>
  </si>
  <si>
    <t>2. Select an ordering part number from the dropdown list (section A in the figure).</t>
  </si>
  <si>
    <t>Step 2 - Use the Checklist</t>
  </si>
  <si>
    <t xml:space="preserve">3. Use the "+" buttons (section G in the figure) to expand each technical area. Once expanded, use the "-" buttons to collapse again. </t>
  </si>
  <si>
    <t>4. Some technical areas have their own settings as well. Adjust these settings (section H in the figure) to match the actual use cases.</t>
  </si>
  <si>
    <t>5. Write down the review result in the "Implementation (User Input)" column (section I in the figure).</t>
  </si>
  <si>
    <t xml:space="preserve">    The above OPN contains:</t>
  </si>
  <si>
    <t>Power supply for programmable power technology.</t>
  </si>
  <si>
    <t>Pre-driver analog power supply pin for HVIO.</t>
  </si>
  <si>
    <t>You can connect these pins to a 1.8-V, 2.5-V, or 3.3-V power supply.</t>
  </si>
  <si>
    <t>Buffer analog power supply pin for HVIO.</t>
  </si>
  <si>
    <t>VCCL_ADC_SDM</t>
  </si>
  <si>
    <t>HPS DSU and periphery voltage sense.</t>
  </si>
  <si>
    <t>SDM block I/O digital supply voltage sense.</t>
  </si>
  <si>
    <t>GTS transceiver high-voltage analog power supply pins.
For more information about the supported pins, refer to the device pin-out file.</t>
  </si>
  <si>
    <t>GTS transceiver analog 1.0-V logic power pins.
For more information about the supported pins, refer to the device pin-out file.</t>
  </si>
  <si>
    <t>Supply power to HPS A55 Core 0 and Core 1.</t>
  </si>
  <si>
    <t xml:space="preserve"> -</t>
  </si>
  <si>
    <t>Byte Lane Swapping</t>
  </si>
  <si>
    <t>DDR4 Interface Termination Guidelines</t>
  </si>
  <si>
    <t xml:space="preserve">Fly by termination scheme. Clock signals are already terminated on the DIMM. No need to put any termination on the board.
Devices – Fly by termination scheme. Differential termination resistor needs to be included in the design. Depending on your board stack up and layout requirements, choose your differential termination resistor value. </t>
  </si>
  <si>
    <t xml:space="preserve">Use 1.2 V I/O standard to meet the 1.2 V CMOS logic levels on the DDR4 device or DIMM.
It is not recommended to terminate this reset to Vtt.
</t>
  </si>
  <si>
    <t xml:space="preserve">Use a voltage regulator to generate this voltage.
The DDR4 memory device requires a Vref of VDD/2 (0.6 V) connected to its VREFCA pins.
The DDR4 memory device VREFDQ is generated internally.
The FPGA DDR4 interface IOBANKS Vref is generated internally for the DQ, DQS,DQS_n and DBI_n signals. </t>
  </si>
  <si>
    <t>Data strobe - DQS_C/DQS_T</t>
  </si>
  <si>
    <t>Reset for LPDDR4 Memory</t>
  </si>
  <si>
    <t>CKE</t>
  </si>
  <si>
    <t>Multiple LPDDR4 IP placed in an IO row</t>
  </si>
  <si>
    <t>LPDDR4 Interface Termination Guidelines</t>
  </si>
  <si>
    <t>Command [CKE, CS_N] @ Memory</t>
  </si>
  <si>
    <t>Command [CKE, CS_N] @ FPGA</t>
  </si>
  <si>
    <t>Use 1.1 V I/O standard to meet the 1.1 V CMOS logic levels on the LPDDR4 device.
It is not recommended to terminate this reset to Vtt.</t>
  </si>
  <si>
    <t>DDR5 Interface Termination Guidelines</t>
  </si>
  <si>
    <t>LPDDR5 Interface Termination Guidelines</t>
  </si>
  <si>
    <t>Use 1.05 V I/O standard to meet the 1.05 V CMOS logic levels on the LPDDR5 device.
It is not recommended to terminate this reset to Vtt.</t>
  </si>
  <si>
    <t>2x 10uF 0402 or 3x 4.7uF 0201</t>
  </si>
  <si>
    <t>1x 10µF 0402</t>
  </si>
  <si>
    <t>Per transceiver bank</t>
  </si>
  <si>
    <t>1x 47µF 0805</t>
  </si>
  <si>
    <t xml:space="preserve">                               Checklist</t>
  </si>
  <si>
    <t xml:space="preserve">You have selected a FPGA OPN that does not require SmartVID. </t>
  </si>
  <si>
    <t>Note: You can create a copy of this schematic review worksheet by clicking the "Create a Copy of this SRW" button (section E in the figure). The copied file will be saved into the same folder as this original schematic review worksheet. Make sure you have the write access to that folder.</t>
  </si>
  <si>
    <t>7. The review status of the entire checklist can be found in the "Status Summary" table (section K in the figure). You can use the buttons below (section L in the figure) to clear the review results and/or review status.</t>
  </si>
  <si>
    <t>Intel recommends designing the board to allow user to switch ODT_CA to logic “1” or “0” ES boards. You can implement it:
a)	using a switch OR
b)	the node is connected to both pull-up and pull-down resistor, with only one of is resistors populated. 
Customer may follow Intel devkit usage.</t>
  </si>
  <si>
    <t>Only valid in RDIMM implementations 
-Refer to connections in the devkit</t>
  </si>
  <si>
    <t>Intel recommends per component switch for CA_ODT for ES boards. Customer may follow Intel devkit usage.</t>
  </si>
  <si>
    <t>3. Make sure you remove the following messages before proceeding.</t>
  </si>
  <si>
    <t>Due to security reasons, your operating system might block the macros used by this Excel-based schematic review worksheet. To avoid errors, follow the steps below.</t>
  </si>
  <si>
    <t>Note: You can use the filters (section B in the figure) to make the ordering part number list shorter. You can use the "Click to Reset Filters" button (section C in the figure) to reset the filters.</t>
  </si>
  <si>
    <t>Agilex™ 3 Device Schematic Review Worksheet</t>
  </si>
  <si>
    <t>Intel Agilex 3 Power and Thermal Calculator (PTC) Rail Name</t>
  </si>
  <si>
    <t>For the devices with speed grade -6S, connect these pins to a 0.78-V power supply. For the devices with speed grade -7S , connect these pins to 0.75-V power supply.</t>
  </si>
  <si>
    <t>You must supply a low noise 1.8-V power supply to this pin if you are using the internal voltage sensors of the Agilex 3 device.
Tie this pin to VCCPT with proper isolation filtering.</t>
  </si>
  <si>
    <t>For the range of the VCCL_ADC_SDM power supply voltage, refer to the Agilex 3 FPGAs and SoCs Device Data Sheet.
VCCL_ADC_SDM can be shared with VCC.
Do not leave the VCCL_ADC_SDM floating or connected to GND.</t>
  </si>
  <si>
    <t>For the range of the VCC_IO_SDM power supply voltage, refer to the Agilex 3 FPGAs and SoCs Device Data Sheet.
VCC_IO_SDM can be shared with VCC.
Do not leave the VCC_IO_SDM floating or connected to GND.</t>
  </si>
  <si>
    <t>VCC_HSSI_L1</t>
  </si>
  <si>
    <t>Connect VCC_HSSI to low noise switching regulator. Refer to the Power Distribution Network Design Guidelines section in the PCB Design Guidelines User Guide: Agilex 3 FPGAs and SoCs for the decoupling capacitor requirement.
Do not tie it to GND or leave it floating if unused.</t>
  </si>
  <si>
    <t>VCCEHT_GTSL1A</t>
  </si>
  <si>
    <t>VCCERT_GTSL1A</t>
  </si>
  <si>
    <t>Connect VCCERT_GTS to 1.0-V dedicated regulator. Refer to PCB Design Guidelines User Guide: Agilex 3 FPGAs and SoCs for decoupling capacitor requirement.
Tie to GND if the GTS transceiver bank supports power down and you do not plan to use it in the future. Refer to GTS Transceiver PHY User Guide for GTS transceiver bank that supports power down.</t>
  </si>
  <si>
    <t>Device Group</t>
  </si>
  <si>
    <t>A3CW100BM16AE6S</t>
  </si>
  <si>
    <t>A3CW100BM16A</t>
  </si>
  <si>
    <t>C-Series with HPS EMIF MIPI PUF Attestation</t>
  </si>
  <si>
    <t>B</t>
  </si>
  <si>
    <t>A3CW100BM16AI6S</t>
  </si>
  <si>
    <t>A3CW135BM16AE6S</t>
  </si>
  <si>
    <t>A3CW135BM16A</t>
  </si>
  <si>
    <t>A3CW135BM16AE6SR0</t>
  </si>
  <si>
    <t>A3CW135BM16A_R0</t>
  </si>
  <si>
    <t>A3CW135BM16AI6S</t>
  </si>
  <si>
    <t>A3CY100BB18AE6S</t>
  </si>
  <si>
    <t>A3CY100BB18A</t>
  </si>
  <si>
    <t>C-Series without HPS with EMIF MIPI PUF Attestation</t>
  </si>
  <si>
    <t>474A</t>
  </si>
  <si>
    <t>SM48</t>
  </si>
  <si>
    <t>A3CY100BB18AE7S</t>
  </si>
  <si>
    <t>A3CY100BB18AI6S</t>
  </si>
  <si>
    <t>A3CY100BB18AI7S</t>
  </si>
  <si>
    <t>A3CY100BM16AE6S</t>
  </si>
  <si>
    <t>A3CY100BM16A</t>
  </si>
  <si>
    <t>A3CY100BM16AE7S</t>
  </si>
  <si>
    <t>A3CY100BM16AI6S</t>
  </si>
  <si>
    <t>A3CY100BM16AI7S</t>
  </si>
  <si>
    <t>A3CY135BB18AE6S</t>
  </si>
  <si>
    <t>A3CY135BB18A</t>
  </si>
  <si>
    <t>A3CY135BB18AE7S</t>
  </si>
  <si>
    <t>A3CY135BB18AI6S</t>
  </si>
  <si>
    <t>A3CY135BB18AI7S</t>
  </si>
  <si>
    <t>A3CY135BM16AE6S</t>
  </si>
  <si>
    <t>A3CY135BM16A</t>
  </si>
  <si>
    <t>A3CY135BM16AE7S</t>
  </si>
  <si>
    <t>A3CY135BM16AI6S</t>
  </si>
  <si>
    <t>A3CY135BM16AI7S</t>
  </si>
  <si>
    <t>A3CZ100BB18AE7S</t>
  </si>
  <si>
    <t>A3CZ100BB18A</t>
  </si>
  <si>
    <t>C-Series without HPS EMIF MIPI PUF Attestation</t>
  </si>
  <si>
    <t>A3CZ100BB18AI7S</t>
  </si>
  <si>
    <t>A3CZ100BM16AE7S</t>
  </si>
  <si>
    <t>A3CZ100BM16A</t>
  </si>
  <si>
    <t>A3CZ100BM16AI7S</t>
  </si>
  <si>
    <t>A3CZ135BB18AE7S</t>
  </si>
  <si>
    <t>A3CZ135BB18A</t>
  </si>
  <si>
    <t>A3CZ135BB18AI7S</t>
  </si>
  <si>
    <t>A3CZ135BM16AE7S</t>
  </si>
  <si>
    <t>A3CZ135BM16A</t>
  </si>
  <si>
    <t>A3CZ135BM16AI7S</t>
  </si>
  <si>
    <t>The Agilex 3 FPGAs and SoCs are available as C-Series FPGAs with different features to fit your application requirements.</t>
  </si>
  <si>
    <t>• Multiple devices with identical package footprints allows seamless migration across different device densities
• Variable Pitch BGA (VPBGA) package(3) for smaller package form factor and to help reduce the number of PCB layers
• 0.5 mm ball pitch package option for small form-factor with more I/O counts</t>
  </si>
  <si>
    <t>The Agilex 3 FPGAs and SoCs are equipped with two types of general purpose I/Os—the high-speed I/Os (HSIO) and the high-voltage I/Os (HVIO). Both HSIO and HVIO enable important support for edge applications in Agilex 3 FPGAs and SoCs.</t>
  </si>
  <si>
    <t>The Agilex 3 FPGAs and SoCs use an enhanced adaptive logic module (ALM).
Key Features:
-High register count: Together with the second generation Hyperflex architecture, the four registers per 8-input fracturable LUT enables maximized core performance at very high core logic utilization.
-ALM operating modes:  Optimize core logic utilization by implementing an extended 7-input logic function, a single 6-input logic function, or two smaller independent functions (for example, two 4-input functions).
-Two clock sources: Two clock sources per ALM generate two normal clocks and two delayed clocks to drive the ALM registers, resulting in more clock domains and time-borrowing capability.
-Additional LUT outputs:  Additional fast 6-LUT and 5-LUT outputs for combinatorial functions improve critical path for logic cascade.
-Improved register packing:  The improved register packing, including 5-input LUT with two packed register paths, results in more efficient usage of the fabric area and improved critical path.
-Latch mode support:  The ALM supports latch mode in the address latch enable.</t>
  </si>
  <si>
    <t>The embedded memory blocks in Intel Agilex 3 FPGAs and SoCs are similar to the embedded memory of previous generation Intel FPGAs.</t>
  </si>
  <si>
    <t>The Agilex 3 FPGAs and SoCs are the cost-optimized FPGAs with an AI tensor block, making it the ideal choice for edge AI applications.
For INT8 operations in a single DSP block, the Agilex 3 FPGAs and SoCs C-Series improve peak theoretical TOPS up to 3.6 times than Cyclone® V FPGAs.
Through a large increase in arithmetic density(7), the Agilex 3 FPGAs and SoCs fit more multipliers and accumulators in the same footprint of a standard DSP block.
The FPGA AI Suite (FPGA AI) supports the new AI features. The FPGA AI Suite enables push-button flow from industry standard frameworks—such as Caffe, PyTorch*, and TensorFlow—to FPGA bitstream.
Additionally, the Agilex 3 FPGAs and SoCs also carry over the variable-precision DSP architecture from previous Altera FPGAs with hard fixed point and IEEE 754-compliant floating point capabilities.
In fixed point mode, you can configure the DSP blocks to support signal processing with precisions from 9×9 up to 54×54:
• Increased 9×9 multipliers count, with three 9×9 multipliers for every 18×19multiplier
• A pipeline register increases the maximum DSP block operating frequency and reduces the power consumption
• Dynamically switch multiplier inputs through scanin and chainout signals
• Compile each DSP block independently as six 9×9, dual 18×19, or single 27×27 multiply-accumulate.
The variable-precision DSP supports floating point addition, multiplication, multiplyadd, and multiply-accumulate:
• Single-precision 32-bit arithmetic FP32 floating point mode 
• Half-precision 16-bit arithmetic FP16 and FP19 floating point modes, and BFLOAT16 floating point format
With a dedicated 64-bit cascade bus, you can cascade multiple variable-precision DSP blocks to efficiently implement even higher-precision DSP functions.</t>
  </si>
  <si>
    <t>All listed devices in Q25.1</t>
  </si>
  <si>
    <t>Per HPS_CORE, CORE0_CORE1.</t>
  </si>
  <si>
    <t>Dedicated JTAG test clock input pin located in the Secure Device Manager (SDM) bank.
You can also use this pin to access the HPS JTAG chain. For more information, refer to the HPS JTAG Pins section.
This pin supports the 1.8-V single-ended I/O standard.
This pin has an internal 20-kΩ pull-down resistor.
JTAG clock speed is 33 MHz for JTAG split mode. In the JTAG split mode, the SDM JTAG mode is independent of the HPS JTAG.
JTAG clock speed is 22 MHz for JTAG daisy-chain mode. In the JTAG daisy-chain mode, the HPS DAP TAP is daisy chained with the SDM mTAP.</t>
  </si>
  <si>
    <t>Dedicated JTAG test mode select input pin located in the SDM bank.
You can also use this pin to access the HPS JTAG chain. For more information, refer to the HPS JTAG Pins section.
This pin supports the 1.8-V single-ended I/O standard.
This pin has an internal 20-kΩ pull-up resistor.</t>
  </si>
  <si>
    <t>Connect this pin to a 1-kΩ – 10-kΩ pull-up resistor to the VCCIO_SDM supply. If the JTAG interface is not used, connect the TMS pin to the VCCIO_SDM supply using a 1-kΩ resistor.</t>
  </si>
  <si>
    <t>Dedicated JTAG test data output pin located in the SDM bank.
You can also use this pin to access the HPS JTAG chain. For more information, refer to the HPS JTAG Pins section.
This pin supports the 1.8-V single-ended I/O standard.</t>
  </si>
  <si>
    <t>Dedicated JTAG test data input pin located in the SDM bank.
You can also use this pin to access the HPS JTAG chain. For more information, refer to the HPS JTAG Pins section.
This pin supports the 1.8-V single-ended I/O standard.
This pin has an internal 20-kΩ pull-up resistor.</t>
  </si>
  <si>
    <t>If you use transceivers, MIPI, EMIF, and PHY Lite interfaces, you must provide an external clock source to this pin.
If you choose to use either the external clock source for configuration or instantiate any transceivers, MIPI, EMIF, and PHY Lite interfaces in your design, or both, you must provide a 25-MHz, 100-MHz, or 125-MHz free-running clock source to this pin and enable it in the Quartus Prime software when you compile your design.
If you are using the internal oscillator for configuration and do not instantiate any transceivers, MIPI, EMIF, and PHY Lite interfaces in your design, leave this pin unconnected.</t>
  </si>
  <si>
    <t>Reference clock source for SDM PLL.
Use this pin as the clock for device configuration and transceiver calibration.
This pin supports the 1.8-V single-ended I/O standard.
This pin has an internal 20-kΩ pull-down resistor.</t>
  </si>
  <si>
    <t>Dual-purpose Avalon streaming interface data ready output pin. Use the AVST_READY(3ATbank) pin for the Avalon streaming interface x16 configuration schemes.
You cannot use this pin as a user I/O pin if you are using the Avalon streaming interface x16 configuration scheme.
This pin supports the 1.2-V LVCMOS I/O standard only if you are using Avalon streaming interface x16 configuration scheme.
These pins support the programmable pull-up resistor. For more information, refer to the Agilex 3 FPGAs and SoCs Device Data Sheet.</t>
  </si>
  <si>
    <t>Dual-purpose Avalon streaming interface clock input pin. Use the AVST_CLK(3ATbank) for the Avalon streaming interface x16 configuration schemes.
You can also use his pin as a user I/O pin after configuration.
This pin supports the 1.2-V LVCMOS I/O standard only if you are using Avalon streaming interface x16 configuration scheme.
These pins support the programmable pull-up resistor. For more information, refer to the Agilex 3 FPGAs and SoCs Device Data Sheet.</t>
  </si>
  <si>
    <t>The INIT_DONE pin indicates the device has enter user mode upon completion of configuration. When used for this purpose, this pin must be enabled by the Quartus Prime software.
When the INIT_DONE function is enabled, this pin drives high when configuration is completed and the device goes into user mode.</t>
  </si>
  <si>
    <t>Reference pins for I/O banks. The RZQ pins share the same VCCIO_PIO with the I/O bank where they are located.
Connect the external precision resistor to the designated pin within the bank. If not required, this pin is a regular I/O pin.
These pins support 1.3-V, 1.2-V, 1.1-V, 1.05-V, and 1.0-V I/O standard.
These pins support the programmable pull-up resistor. For more information, refer to the Agilex 3 FPGAs and SoCs Device Data Sheet.
For more information about the supported pins, refer to the device pin-out file.</t>
  </si>
  <si>
    <t>PIN_PERST_N_CVP_L1A_[0,1]</t>
  </si>
  <si>
    <t>These are LVDS SERDES channels on HSIO banks. If these pins are not used in LVDS SERDES implementation, these pins are available as user I/O pins.
Supported I/O standards:
•	1.3-V I/O standard for true differential I/O
•	1.3-V I/O standard for single-ended non-voltage referenced I/O
•	1.2-V I/O standard for single-ended voltage referenced and non-voltage referenced I/O
•	1.2-V I/O standard for differential voltage referenced I/O
•	1.2-V I/O standard for true differential I/O
•	1.1-V I/O standard for single-ended voltage referenced and non-voltage referenced I/O
•	1.1-V I/O standard for differential voltage referenced I/O
•	1.1-V I/O standard for true differential I/O
•	1.05-V I/O standard for single-ended voltage referenced and non-voltage referenced I/O
•	1.05-V I/O standard for differential voltage referenced input
•	1.05-V I/O standard for true differential I/O
•	1.0-V I/O standard for non-voltage referenced I/O
These pins support the programmable pull-up resistor. For more information, refer to the Agilex 3 FPGAs and SoCs Device Data Sheet.
For more information about the I/O placement guidelines, refer to the General-Purpose I/O User Guide: Agilex 3 FPGAs and SoCs.</t>
  </si>
  <si>
    <t>Tie these pins to GND if you do not use the voltage sensor feature. For more information on the usage of these pins, refer to the Power Management User Guide: Agilex 3 FPGAs and SoCs.
Do not drive the VSIGP and VSIGN pins until the VCCADC power rail has reached 1.62 V to prevent damage.</t>
  </si>
  <si>
    <t>Connect these pins to an external temperature sensing device to allow sensing of the FPGA's temperature. If you do not use the temperature sensing diode with an external temperature sensing device, leave these pins unconnected.
For more information about the locations and channel numbers of the temperature sensors, refer to the Agilex 3 Sensor Monitoring System chapter in the Power Management User Guide: Agilex 3 FPGAs and SoCs.</t>
  </si>
  <si>
    <t>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t>
  </si>
  <si>
    <t>RCOMP_GTSL1A_P</t>
  </si>
  <si>
    <t>RCOMP_GTSL1A_N</t>
  </si>
  <si>
    <t>REFCLK_GTSL1A_CH1p</t>
  </si>
  <si>
    <t>REFCLK_GTSL1A_CH1n</t>
  </si>
  <si>
    <t>Local reference clock pins for GTS transceiver banks.
For more information about the supported pins, refer to the device pin-out file.</t>
  </si>
  <si>
    <t>CDRCLKOUT_GTSL1A_CH2p</t>
  </si>
  <si>
    <t>CDRCLKOUT_GTSL1A_CH2n</t>
  </si>
  <si>
    <t>CDR recovered clock output pins for GTS transceiver banks.
For more information about the supported pins, refer to the device pin-out file.</t>
  </si>
  <si>
    <t>REFCLK_GTSL1A_RX_P</t>
  </si>
  <si>
    <t>REFCLK_GTSL1A_RX_N</t>
  </si>
  <si>
    <t>GTSL1A_RX_CH[0,1,2,3]p</t>
  </si>
  <si>
    <t>GTSL1A_RX_CH[0,1,2,3]n</t>
  </si>
  <si>
    <t>GTSL1A_TX_CH[0,1,2,3]p</t>
  </si>
  <si>
    <t>GTSL1A_TX_CH[0,1,2,3]n</t>
  </si>
  <si>
    <t>APROBE_GTSL1A_CH[0,1,2,3]</t>
  </si>
  <si>
    <t>APROBE2_GTSL1A</t>
  </si>
  <si>
    <t>USB0 Clock.
There are two USB controllers (USB0 and USB1) for the Agilex 3 HPS. USB0 supports USB 2.0 and USB1 supports USB 3.1. USB 3.1 pins are for ULPI compatibility only.</t>
  </si>
  <si>
    <t>USB1 Clock.
There are two USB controllers (USB0 and USB1) for the Agilex 3 HPS. USB0 supports USB 2.0 and USB1 supports USB 3.1. USB 3.1 pins are for ULPI compatibility only.</t>
  </si>
  <si>
    <t>Group 1: HPS_IOA_11
Group 2: HPS_IOA_19
Group 3: HPS_IOB_7
Group 4: HPS_IOB_17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</si>
  <si>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HPS_IOA_12
Group 2: HPS_IOA_20
Group 3: HPS_IOB_8
Group 4: HPS_IOB_18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</si>
  <si>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HPS_IOA_9
Group 2: HPS_IOA_17
Group 3: HPS_IOB_5
Group 4: HPS_IOB_15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</si>
  <si>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HPS_IOA_10
Group 2: HPS_IOA_18
Group 3: HPS_IOB_6
Group 4: HPS_IOB_16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</si>
  <si>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Trace Data 0. 
You can select up to 16 trace output pins in the Agilex 3 HPS. These pins do not have to be located in the same quadrant.</t>
  </si>
  <si>
    <t>Trace Data 1. 
You can select up to 16 trace output pins in the Agilex 3 HPS. These pins do not have to be located in the same quadrant.</t>
  </si>
  <si>
    <t>Trace Data 2. 
You can select up to 16 trace output pins in the Agilex 3 HPS. These pins do not have to be located in the same quadrant.</t>
  </si>
  <si>
    <t>Trace Data 3. 
You can select up to 16 trace output pins in the Agilex 3 HPS. These pins do not have to be located in the same quadrant.</t>
  </si>
  <si>
    <t>Trace Data 4. 
You can select up to 16 trace output pins in the Agilex 3 HPS. These pins do not have to be located in the same quadrant.</t>
  </si>
  <si>
    <t>Trace Data 5. 
You can select up to 16 trace output pins in the Agilex 3 HPS. These pins do not have to be located in the same quadrant.</t>
  </si>
  <si>
    <t>Trace Data 6. 
You can select up to 16 trace output pins in the Agilex 3 HPS. These pins do not have to be located in the same quadrant.</t>
  </si>
  <si>
    <t>Trace Data 7. 
You can select up to 16 trace output pins in the Agilex 3 HPS. These pins do not have to be located in the same quadrant.</t>
  </si>
  <si>
    <t>Trace Data 8. 
You can select up to 16 trace output pins in the Agilex 3 HPS. These pins do not have to be located in the same quadrant.</t>
  </si>
  <si>
    <t>Trace Data 9. 
You can select up to 16 trace output pins in the Agilex 3 HPS. These pins do not have to be located in the same quadrant.</t>
  </si>
  <si>
    <t>Trace Data 10. 
You can select up to 16 trace output pins in the Agilex 3 HPS. These pins do not have to be located in the same quadrant.</t>
  </si>
  <si>
    <t>Trace Data 11. 
You can select up to 16 trace output pins in the Agilex 3 HPS. These pins do not have to be located in the same quadrant.</t>
  </si>
  <si>
    <t>Trace Data 12. 
You can select up to 16 trace output pins in the Agilex 3 HPS. These pins do not have to be located in the same quadrant.</t>
  </si>
  <si>
    <t>Trace Data 13. 
You can select up to 16 trace output pins in the Agilex 3 HPS. These pins do not have to be located in the same quadrant.</t>
  </si>
  <si>
    <t>Trace Data 14. 
You can select up to 16 trace output pins in the Agilex 3 HPS. These pins do not have to be located in the same quadrant.</t>
  </si>
  <si>
    <t>Trace Data 15. 
You can select up to 16 trace output pins in the Agilex 3 HPS. These pins do not have to be located in the same quadrant.</t>
  </si>
  <si>
    <t>I3C1_SDA_PULLUP_EN</t>
  </si>
  <si>
    <t>I3C1 Enable the pull-up resistor.</t>
  </si>
  <si>
    <t>Group 1: -
Group 2: -
Group 3: HPS_IOB_2
Group 4: HPS_IOB_22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</si>
  <si>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I3C0_SDA_PULLUP_EN</t>
  </si>
  <si>
    <t>Group 1: -
Group 2: -
Group 3: HPS_IOB_1
Group 4: HPS_IOB_21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</si>
  <si>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I3C0 Enable the pull-up resistor.</t>
  </si>
  <si>
    <t>Refer to the DQ placement on DDR4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</si>
  <si>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DQS/DQSn placement on DDR4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</si>
  <si>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CK_c/CK_t placement on Address and Command Pin Placement for DDR4 IP table and DDR4 Data Width Mapping table in the External Memory Interfaces (EMIF) IP User Guide: Agilex™ 3 FPGAs and SoCs</t>
  </si>
  <si>
    <t xml:space="preserve">Refer to the reference clock placement on Address and Command Pin Placement for DDR4 IP table and DDR4 Data Width Mapping table in the External Memory Interfaces (EMIF) IP User Guide: Agilex™ 3 FPGAs and SoCs </t>
  </si>
  <si>
    <t>Refer to the DM_n placement on DDR4 Pin Placement table in the External Memory Interfaces (EMIF) IP User Guide: Agilex™ 3 FPGAs and SoCs</t>
  </si>
  <si>
    <t>Refer to the placement on Address and Command Pin Placement for DDR4 IP table and DDR4 Data Width Mapping table in the External Memory Interfaces (EMIF) IP User Guide: Agilex™ 3 FPGAs and SoCs</t>
  </si>
  <si>
    <t>Refer to the ALERT_n placement on Address and Command Pin Placement for DDR4 IP table and DDR4 Data Width Mapping table in the External Memory Interfaces (EMIF) IP User Guide: Agilex™ 3 FPGAs and SoCs</t>
  </si>
  <si>
    <t>Refer to the RESET_n placement on Address and Command Pin Placement for DDR4 IP table and DDR4 Data Width Mapping table in the External Memory Interfaces (EMIF) IP User Guide: Agilex™ 3 FPGAs and SoCs</t>
  </si>
  <si>
    <t>Refer to the RZQ placement on Address and Command Pin Placement for DDR4 IP table and DDR4 Data Width Mapping table in the External Memory Interfaces (EMIF) IP User Guide: Agilex™ 3 FPGAs and SoCs</t>
  </si>
  <si>
    <t>If you need to swap the Byte Lane placement, ensure that the swapping adheres to the guideline documented in the DDR4 Byte Lane Swapping section in the External Memory Interfaces (EMIF) IP User Guide: Agilex™ 3 FPGAs and SoCs. 
Ensure that you meet the additional restrictions when using a x16 memory component.</t>
  </si>
  <si>
    <t>Refer to the DQ placement on LPDDR4 Pin Placement talbe in the External Memory Interfaces (EMIF) IP User Guide: Agilex™ 3 FPGAs and SoCs</t>
  </si>
  <si>
    <t>Refer to the RDQS_c/RDQS_t placement on LPDDR4 Pin Placement talbe in the External Memory Interfaces (EMIF) IP User Guide: Agilex™ 3 FPGAs and SoCs</t>
  </si>
  <si>
    <t>Refer to the MEM_CK_C/MEM_CK_T placement on Address and Command Pin Placement for LPDDR4 table and LPDDR4 Data Width Mapping table in the External Memory Interfaces (EMIF) IP User Guide: Agilex™ 3 FPGAs and SoCs</t>
  </si>
  <si>
    <t>Refer to the reference clock placement on Address and Command Pin Placement for LPDDR4 table and LPDDR4 Data Width Mapping table in the External Memory Interfaces (EMIF) IP User Guide: Agilex™ 3 FPGAs and SoCs</t>
  </si>
  <si>
    <t xml:space="preserve">Refer to the DMI placement on LPDDR4 Pin Placement talbe in the External Memory Interfaces (EMIF) IP User Guide: Agilex™ 3 FPGAs and SoCs
</t>
  </si>
  <si>
    <t>Refer to the CA placement on Address and Command Pin Placement for LPDDR4 table and LPDDR4 Data Width Mapping table in the External Memory Interfaces (EMIF) IP User Guide: Agilex™ 3 FPGAs and SoCs
All address and command pins and their associated clock pins (CK and CK#) must reside within a single sub-bank.</t>
  </si>
  <si>
    <t>Refer to the CS placement Address and Command Pin Placement for LPDDR4 table and LPDDR4 Data Width Mapping table in the External Memory Interfaces (EMIF) IP User Guide: Agilex™ 3 FPGAs and SoCs</t>
  </si>
  <si>
    <t>Refer to the RESET_N placement on Address and Command Pin Placement for LPDDR4 table and LPDDR4 Data Width Mapping table in the External Memory Interfaces (EMIF) IP User Guide: Agilex™ 3 FPGAs and SoCs</t>
  </si>
  <si>
    <t xml:space="preserve">Refer to the RZQ placement on Address and Command Pin Placement for LPDDR4 table and LPDDR4 Data Width Mapping table in the External Memory Interfaces (EMIF) IP User Guide: Agilex™ 3 FPGAs and SoCs
</t>
  </si>
  <si>
    <t>Refer to the CKE placement on Address and Command Pin Placement for LPDDR4 table and LPDDR4 Data Width Mapping table in the External Memory Interfaces (EMIF) IP User Guide: Agilex™ 3 FPGAs and SoCs</t>
  </si>
  <si>
    <t xml:space="preserve">If you need to swap the Byte Lane placement, ensure that the swapping adheres to the guideline documented in the LPDDR4 Byte Lane Swapping section in the External Memory Interfaces (EMIF) IP User Guide: Agilex™ 3 FPGAs and SoCs </t>
  </si>
  <si>
    <t>Refer to the DQ placement on DDR5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</si>
  <si>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DQS/DQSn placement on DDR5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</si>
  <si>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CK_C/CK_T placement on Address and Command Pin Placement for DDR5 IP table and DDR5 Data Width Mapping table in the External Memory Interfaces (EMIF) IP User Guide: Agilex™ 3 FPGAs and SoCs</t>
  </si>
  <si>
    <t>Refer to the reference clock placement on Address and Command Pin Placement for DDR5 IP table and DDR5 Data Width Mapping table in the External Memory Interfaces (EMIF) IP User Guide: Agilex™ 3 FPGAs and SoCs</t>
  </si>
  <si>
    <t>Refer to the DM placement on DDR5 Pin Placement table in the External Memory Interfaces (EMIF) IP User Guide: Agilex™ 3 FPGAs and SoCs</t>
  </si>
  <si>
    <t>Refer to the CA placement on Address and Command Pin Placement for DDR5 IP table and DDR5 Data Width Mapping table in the External Memory Interfaces (EMIF) IP User Guide: Agilex™ 3 FPGAs and SoCs
All address and command pins and their associated clock pins (CK and CK#) must reside within a single sub-bank.</t>
  </si>
  <si>
    <t>Refer to the CS_N placement on Address and Command Pin Placement for DDR5 IP table and DDR5 Data Width Mapping table in the External Memory Interfaces (EMIF) IP User Guide: Agilex™ 3 FPGAs and SoCs</t>
  </si>
  <si>
    <t>Refer to the ALERT_N placement on Address and Command Pin Placement for DDR5 IP table and DDR5 Data Width Mapping table in the External Memory Interfaces (EMIF) IP User Guide: Agilex™ 3 FPGAs and SoCs</t>
  </si>
  <si>
    <t>Refer to the RESET_N placement on Address and Command Pin Placement for DDR5 IP table and DDR5 Data Width Mapping table in the External Memory Interfaces (EMIF) IP User Guide: Agilex™ 3 FPGAs and SoCs</t>
  </si>
  <si>
    <t>Refer to the RZQ placement on Address and Command Pin Placement for DDR5 IP table and DDR5 Data Width Mapping table in the External Memory Interfaces (EMIF) IP User Guide: Agilex™ 3 FPGAs and SoCs</t>
  </si>
  <si>
    <t xml:space="preserve">If you need to swap the Byte Lane placement, ensure that the swapping adheres to the guideline documented in the DDR5 Byte Lane Swapping section in the External Memory Interfaces (EMIF) IP User Guide: Agilex™ 3 FPGAs and SoCs. </t>
  </si>
  <si>
    <t>Refer to the DQ placement on LPDDR5 Pin Placement table in the External Memory Interfaces (EMIF) IP User Guide: Agilex™ 3 FPGAs and SoCs</t>
  </si>
  <si>
    <t>Refer to the RDQS_c/RDQS_t placement on LPDDR5 Pin Placement table in the External Memory Interfaces (EMIF) IP User Guide: Agilex™ 3 FPGAs and SoCs</t>
  </si>
  <si>
    <t>Refer to the CK_c/CK_t placement on Address and Command Pin Placement for LPDDR5 table and LPDDR5 Data Width Mapping table in the External Memory Interfaces (EMIF) IP User Guide: Agilex™ 3 FPGAs and SoCs</t>
  </si>
  <si>
    <t>Refer to the reference clock placement on Address and Command Pin Placement for LPDDR5 table and LPDDR5 Data Width Mapping table  in the External Memory Interfaces (EMIF) IP User Guide: Agilex™ 3 FPGAs and SoCs</t>
  </si>
  <si>
    <t>Refer to the DMI placement on LPDDR5 Pin Placement table in the External Memory Interfaces (EMIF) IP User Guide: Agilex™ 3 FPGAs and SoCs</t>
  </si>
  <si>
    <t>Refer to the CA placement on Address and Command Pin Placement for LPDDR5 table and LPDDR5 Data Width Mapping table  in the External Memory Interfaces (EMIF) IP User Guide: Agilex™ 3 FPGAs and SoCs
All address and command pins and their associated clock pins (CK and CK#) must reside within a single sub-bank.</t>
  </si>
  <si>
    <t>Refer to the CS placement on Address and Command Pin Placement for LPDDR5 table and LPDDR5 Data Width Mapping table  in the External Memory Interfaces (EMIF) IP User Guide: Agilex™ 3 FPGAs and SoCs</t>
  </si>
  <si>
    <t>Refer to the WCK_t/WCK_C placement on Address and Command Pin Placement for LPDDR5 table and LPDDR5 Data Width Mapping table  in the External Memory Interfaces (EMIF) IP User Guide: Agilex™ 3 FPGAs and SoCs</t>
  </si>
  <si>
    <t>Refer to the RESET_N placement on Address and Command Pin Placement for LPDDR5 table and LPDDR5 Data Width Mapping table  in the External Memory Interfaces (EMIF) IP User Guide: Agilex™ 3 FPGAs and SoCs</t>
  </si>
  <si>
    <t>Refer to the RZQ placement on Address and Command Pin Placement for LPDDR5 table and LPDDR5 Data Width Mapping table  in the External Memory Interfaces (EMIF) IP User Guide: Agilex™ 3 FPGAs and SoCs</t>
  </si>
  <si>
    <t xml:space="preserve">If you need to swap the Byte Lane placement, ensure that the swapping adheres to the guideline documented in the LPDDR5 Byte Lane Swapping section in the External Memory Interfaces (EMIF) IP User Guide: Agilex™ 3 FPGAs and SoCs. </t>
  </si>
  <si>
    <t>Refer to Figure 52. Pin Options for LPDDR5 2ch x32 in the External Memory Interfaces (EMIF) IP User Guide: Agilex™ 3 FPGAs and SoCs</t>
  </si>
  <si>
    <t>Intel Agilex® 3 FPGAs and SoCs Device Overview</t>
  </si>
  <si>
    <t>Pin Connection Guidelines: Agilex™ 3 FPGAs and SoCs</t>
  </si>
  <si>
    <t>Agilex™ 3 FPGAs and SoCs Device Data Sheet</t>
  </si>
  <si>
    <t>Power Distribution Network Design Guidelines: Agilex™ 3 FPGAs and SoCs</t>
  </si>
  <si>
    <t>Power Management User Guide: Agilex™ 3 FPGAs and SoCs</t>
  </si>
  <si>
    <t>Device Configuration User Guide: Agilex™ 3 FPGAs and SoCs</t>
  </si>
  <si>
    <t>General-Purpose I/O User Guide: Agilex™ 3 FPGAs and SoCs</t>
  </si>
  <si>
    <t>Clocking and PLL User Guide: Agilex™ 3 FPGAs and SoCs</t>
  </si>
  <si>
    <t>External Memory Interfaces (EMIF) IP User Guide: Agilex™ 3 FPGAs and SoCs</t>
  </si>
  <si>
    <t>Hard Processor System Technical Reference Manual: Agilex™ 3 SoCs</t>
  </si>
  <si>
    <t xml:space="preserve">              Agilex™ 3 Device Schematic Review Worksheet</t>
  </si>
  <si>
    <t>No Connect</t>
  </si>
  <si>
    <t>SDMMC Data 2.</t>
  </si>
  <si>
    <t>SDMMC Data 4.</t>
  </si>
  <si>
    <t>SDMMC Data 7.</t>
  </si>
  <si>
    <t>SDMMC Write Protect.</t>
  </si>
  <si>
    <t>NAND Data Bit 0.</t>
  </si>
  <si>
    <t>NAND Data Bit 1.</t>
  </si>
  <si>
    <t>NAND Data Bit 2</t>
  </si>
  <si>
    <t>NAND Data Bit 3</t>
  </si>
  <si>
    <t>NAND Data Bit 7.</t>
  </si>
  <si>
    <t>NAND signal to indicate data valid window.</t>
  </si>
  <si>
    <t>NAND Data Bit 8.</t>
  </si>
  <si>
    <t>NAND Data Bit 9.</t>
  </si>
  <si>
    <t>NAND Data Bit 10.</t>
  </si>
  <si>
    <t>NAND Data Bit 11.</t>
  </si>
  <si>
    <t>NAND Data Bit 12.</t>
  </si>
  <si>
    <t>NAND Data Bit 13.</t>
  </si>
  <si>
    <t>NAND Data Bit 14.</t>
  </si>
  <si>
    <t>NAND Data Bit 15.</t>
  </si>
  <si>
    <t>SDMMC Data 3.
When using SD card, there is an existing 50-kΩ pull-up on SDMMC Data Bit 3 which can be disabled in the HPS software by using the SET_CLR_CARD_DETECT (ACMD42) command.
This is not applicable to the eMMC flash.</t>
  </si>
  <si>
    <t>A3C135M16A</t>
  </si>
  <si>
    <t>A3C135B18A</t>
  </si>
  <si>
    <t>Decap info is not available for now.</t>
  </si>
  <si>
    <t>A3C100M16A</t>
  </si>
  <si>
    <t>A3C100B18A</t>
  </si>
  <si>
    <r>
      <t>VCCP</t>
    </r>
    <r>
      <rPr>
        <sz val="11"/>
        <color rgb="FF000000"/>
        <rFont val="Calibri"/>
        <family val="2"/>
        <scheme val="minor"/>
      </rPr>
      <t xml:space="preserve"> supplies power to the periphery.</t>
    </r>
  </si>
  <si>
    <t>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VCCP and other power supplies. Decoupling for these pins depends on the decoupling requirements of the specific board.</t>
  </si>
  <si>
    <r>
      <t>VCC</t>
    </r>
    <r>
      <rPr>
        <sz val="11"/>
        <color rgb="FF000000"/>
        <rFont val="Calibri"/>
        <family val="2"/>
        <scheme val="minor"/>
      </rPr>
      <t xml:space="preserve"> supplies power to the core.</t>
    </r>
  </si>
  <si>
    <t>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 and other power supplies. Decoupling for these pins depends on the decoupling requirements of the specific board.</t>
  </si>
  <si>
    <t>Connect VCCPT to a 1.8-V low noise switching regulator. You have the option to source the following from the same regulator as VCCPT:
•	VCCIO_SDM, VCCIO_HPS, and VCCPT_HVIO
•	VCCPLL_SDM, VCCPLL_HPS, and VCCADC with proper isolation filtering
Voltage spike ringing may be observed on VCCPT during device power-down sequencing if VCC is powered down before VCCPT, with the magnitude of the voltage spike ringing higher than VCCPT. This is the expected behavior and causes neither any functional failure nor reliability concerns to the device.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t>
  </si>
  <si>
    <t>Connect the VCCRCORE to 1.2-V power supply.
You have the option to source VCCRCORE from the same regulator as VCCIO_PIO when you are using 1.2 V for VCCIO_PIO.</t>
  </si>
  <si>
    <r>
      <t xml:space="preserve">You must connect this sense to the </t>
    </r>
    <r>
      <rPr>
        <sz val="11"/>
        <color rgb="FF000000"/>
        <rFont val="Calibri"/>
        <family val="2"/>
        <scheme val="minor"/>
      </rPr>
      <t>VCCERT_GTS (1.0 V) rail for the Agilex 3 device with transceiver and connect this sense to VCCL_SDM for the device without transceiver.</t>
    </r>
  </si>
  <si>
    <t>These are the supply voltage pins for the HSIO banks. Each sub-bank can support a different voltage level. Supported VCCIO standards include the following:
•	1.0-V
•	1.05-V
•	1.1-V
•	1.2-V
•	1.3-V
For more information about the supported pins, refer to the device pin-out file.</t>
  </si>
  <si>
    <t>Connect these pins to a 1.0 V, 1.05 V, 1.1 V, 1.2 V, or 1.3 V power supplies, depending on the I/O standard required by the specific sub-bank.
When the entire HSIO bank is unused, you may connect the VCCIO_PIO of the unused HSIO bank to GND, 1.0 V, 1.05 V, 1.1 V, 1.2 V, or 1.3 V.
If only one of the sub-bank within the same HSIO bank is unused, you must connect the VCCIO_PIO of the unused sub-bank to the same VCCIO_PIO voltage level as the other actively utilized sub-bank.
Do not leave the VCCIO_PIO floating.
For the voltage tolerance (±3% or ±5%) in different use cases, refer to the Agilex 3 FPGAs and SoCs Device Data Sheet.
You have option to connect VCCIO_PIO_T and VCCIO_PIO_B in the same I/O bank with different voltage level, for example, VCCIO_PIO_2AT (1.2 V) and VCCIO_PIO_2AB (1.1 V).
If you have LVDS TX signals on the sub-bank of your board, the VCCIO_PIO of this sub-bank must be connected to 1.3 V.
During the power-up sequence only, a transient current whose magnitude is less than the VCCIO_PIO operating static current may be observed as the VCCIO_PIO transistors become operational. This is the expected behavior and causes neither any functional failure nor reliability concerns to the device if the power-up or power-down sequence is followed.
For more details, refer to the Power Management User Guide: Agilex 3 FPGAs and SoCs and General-Purpose I/O User Guide: Agilex 3 FPGAs and SoCs.
For the power rail sharing, refer to the Power Supply Sharing Guidelines for Agilex 3 Devices section.</t>
  </si>
  <si>
    <r>
      <t xml:space="preserve">Connect these pins to </t>
    </r>
    <r>
      <rPr>
        <sz val="11"/>
        <color rgb="FF000000"/>
        <rFont val="Calibri"/>
        <family val="2"/>
        <scheme val="minor"/>
      </rPr>
      <t>VCCIO_PIO_3AT as 1.2 V when you use Avalon streaming interface x16 for FPGA configuration.  Connect these pins to VCCRCORE if you do not use Avalon streaming interface x16 for FPGA configuration.</t>
    </r>
  </si>
  <si>
    <t>Connect these pins to a 1.8-V power supply.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t>
  </si>
  <si>
    <r>
      <t>VCCPLLDIG_SDM</t>
    </r>
    <r>
      <rPr>
        <sz val="11"/>
        <color rgb="FF000000"/>
        <rFont val="Calibri"/>
        <family val="2"/>
        <scheme val="minor"/>
      </rPr>
      <t xml:space="preserve"> must be sourced from the same regulator as VCCL_SDM with proper isolation filtering.</t>
    </r>
  </si>
  <si>
    <r>
      <t>VCCPLL_SDM</t>
    </r>
    <r>
      <rPr>
        <sz val="11"/>
        <color rgb="FF000000"/>
        <rFont val="Calibri"/>
        <family val="2"/>
        <scheme val="minor"/>
      </rPr>
      <t xml:space="preserve"> supplies analog power to the SDM block PLLs.</t>
    </r>
  </si>
  <si>
    <t>With proper isolation filtering, you have the option to source VCCPLL_SDM from the same regulator as VCCPT.
Decoupling for these pins depends on the design decoupling requirements of the specific board.</t>
  </si>
  <si>
    <r>
      <t xml:space="preserve">Connect all </t>
    </r>
    <r>
      <rPr>
        <sz val="11"/>
        <color rgb="FF000000"/>
        <rFont val="Calibri"/>
        <family val="2"/>
        <scheme val="minor"/>
      </rPr>
      <t>GND pins to the board ground plane.</t>
    </r>
  </si>
  <si>
    <t>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t>
  </si>
  <si>
    <t>The required power supply to program (write) the optional, one-time programmable eFuses. These eFuses are an integral part of the Agilex 3 security architecture.</t>
  </si>
  <si>
    <r>
      <t xml:space="preserve">Connect this pin to 1.8-V. You must source </t>
    </r>
    <r>
      <rPr>
        <sz val="11"/>
        <color rgb="FF000000"/>
        <rFont val="Calibri"/>
        <family val="2"/>
        <scheme val="minor"/>
      </rPr>
      <t>VCCFUSEWR_SDM and VCCPT from the same 1.8-V regulator.</t>
    </r>
  </si>
  <si>
    <r>
      <t xml:space="preserve">Connect these pins to a 1.8-V power supply. You must share the same regulator with </t>
    </r>
    <r>
      <rPr>
        <sz val="11"/>
        <color rgb="FF000000"/>
        <rFont val="Calibri"/>
        <family val="2"/>
        <scheme val="minor"/>
      </rPr>
      <t>VCCPT.</t>
    </r>
  </si>
  <si>
    <t>GTS transceiver digital logic power supply.
•	For the devices with speed grade –6S, it is 0.78-V.
•	For the devices with speed grade –7S, it is 0.75- V.
For more information about the supported pins, refer to the device pin-out file.</t>
  </si>
  <si>
    <t>VCCEHT_GTS should share 1.8-V rail with VCCPT through a proper isolation filtering. Refer to PCB Design Guidelines User Guide: Agilex 3 FPGAs and SoCs for fitter details and decoupling capacitor requirement.
Tie to GND if the GTS transceiver bank supports power down and you do not plan to use it in the future. Refer to GTS Transceiver PHY User Guide for GTS transceiver bank that supports power down.</t>
  </si>
  <si>
    <t>VCCL_HPS supplies power to the HPS DSU and periphery circuitry.</t>
  </si>
  <si>
    <t>For the range of the VCCL_HPS power supply voltage, refer to the Agilex 3 FPGAs and SoCs Device Data Sheet. Altera recommends you share VCCL_HPS with VCC together.
If you do not intend to utilize the HPS in the Agilex 3 device, you must still provide power to the HPS power supply. Do not leave the VCCL_HPS floating or connected to GND.</t>
  </si>
  <si>
    <t>For the range of the VCCL_HPS_CORE0_CORE1 power supply voltage, refer to the Agilex 3 FPGAs and SoCs Device Data Sheet.
VCCL_HPS_CORE0_CORE1 must be sourced from the same regulator with VCCL_HPS. Altera recommends you share this power with VCC together.
You have the option to connect this pin to GND if you do not intend to use the Cortex*-A55 cores.</t>
  </si>
  <si>
    <t>Connect these pins to 1.8-V power supply. You have the option to source VCCIO_HPS pins from the same regulator as VCCPT.
If you do not intend to utilize the HPS in the Agilex 3 device, you must still provide power to the HPS power supply. Do not leave the VCCIO_HPS floating or connected to GND.</t>
  </si>
  <si>
    <t>Connect this pin through a 1-kΩ pull-down resistor to GND.
If you plan to use either the attestation or Black Key
Provisioning (BKP) security features, or both, do not connect this pin to GND. Connect the TCK pin to the VCCIO_SDM supply using a 10-kΩ pull-up resistor.</t>
  </si>
  <si>
    <r>
      <t xml:space="preserve">If the JTAG interface is not used, leave the </t>
    </r>
    <r>
      <rPr>
        <sz val="11"/>
        <color rgb="FF000000"/>
        <rFont val="Calibri"/>
        <family val="2"/>
        <scheme val="minor"/>
      </rPr>
      <t>TDO pin unconnected.</t>
    </r>
  </si>
  <si>
    <r>
      <t xml:space="preserve">Connect this pin to a 1-kΩ – 10-kΩ pull-up resistor to the </t>
    </r>
    <r>
      <rPr>
        <sz val="11"/>
        <color rgb="FF000000"/>
        <rFont val="Calibri"/>
        <family val="2"/>
        <scheme val="minor"/>
      </rPr>
      <t>VCCIO_SDM supply. If the JTAG interface is not used, connect the TDI pin to the VCCIO_SDM supply using a 1-kΩ resistor.</t>
    </r>
  </si>
  <si>
    <t>Configuration status pin. This pin is used for synchronization with the configuration host driving nCONFIG and to report errors.
This pin supports the 1.8-V single-ended I/O standard.
This pin has an internal 20-kΩ pull-up resistor.
The drive strength is 8 mA.
Attention: Ensure that during power up, no external component drives the nSTATUS signal low.</t>
  </si>
  <si>
    <t>When you are using the Avalon® streaming configuration scheme, connect this pin to the configuration host.
For other configuration schemes, use this pin to monitor the configuration status.
You must pull up this pin through a 10-kΩ resistor to VCCIO_SDM for all configuration schemes.</t>
  </si>
  <si>
    <t>The nCONFIG pin is used to clear the device and prepare for reconfiguration.
This pin supports the 1.8-V single-ended I/O standard.
This pin has an internal 20-kΩ pull-up resistor.</t>
  </si>
  <si>
    <t>When you use the Avalon streaming configuration scheme, connect this pin to the configuration host.
When you use other configuration schemes, pull this pin to
VCCIO_SDM through an external 10-KΩ pull-up resistor. Use this pin to restart configuration by driving it low and then high again. Ensure that you follow all the requirements for the nCONFIG operation as specified in the Device Configuration User Guide: Agilex 3 FPGAs and SoCs.</t>
  </si>
  <si>
    <t>I/O, Input</t>
  </si>
  <si>
    <t>Dual-purpose configuration data input pins.
Use the AVST_DATA[15:0] pins for Avalon streaming interface x16 mode.
This pin supports the 1.2-V LVCMOS I/O standard only if you are using Avalon streaming interface x16 configuration scheme.
These pins support the programmable pull-up resistor. For more information, refer to the Agilex 3 FPGAs and SoCs Device Data Sheet.
Attention: Access to the I/O pins located in bank 3AT with pin index [91...95] is not allowed for the Avalon streaming interface x16 configuration scheme. You must leave these pins unconnected. For more information, refer to the device pin mapping files to identify the exact pin location.</t>
  </si>
  <si>
    <t>AVST_READY(3ATbank)</t>
  </si>
  <si>
    <t>I/O, Output</t>
  </si>
  <si>
    <t>Connect this pin to the ready signal input of the external configuration controller when configuring using the Avalon streaming x16 interface.</t>
  </si>
  <si>
    <t>AVST_CLK(3ATbank)</t>
  </si>
  <si>
    <t>Connect this pin to the clock signal of the external configuration controller when configuring using the Avalon streaming x16 interface.
Connect unused pins as defined in the Quartus Prime software.</t>
  </si>
  <si>
    <t>AVST_VALID(3ATbank)</t>
  </si>
  <si>
    <t>Dual-purpose configuration data valid pin. Use the AVST_VALID(3ATbank) pin for the Avalon streaming interface x16 configuration schemes.
You can also use this pin as a user I/O pin after configuration.
This pin supports the 1.2-V LVCMOS I/O standard only if you are using Avalon streaming interface x16 configuration scheme.
These pins support the programmable pull-up resistor. For more information, refer to the Agilex 3 FPGAs and SoCs Device Data Sheet.</t>
  </si>
  <si>
    <t>Connect this pin to the data valid signal of the external configuration controller when configuring using the Avalon streaming x16 interface.
Connect unused pins as defined in the Quartus Prime software.</t>
  </si>
  <si>
    <t>Connect a 2-kΩ ±1% resistor to GND.</t>
  </si>
  <si>
    <t>This pin is pulled low internally by a 20kΩ resistor when the device is powered up.</t>
  </si>
  <si>
    <t>This pin is pulled high internally by a 20kΩ resistor when the device is powered up.
This pin functions differently depending on the configuration scheme used by setting the MSEL pins.</t>
  </si>
  <si>
    <t>This pin is pulled high internally by a 20kΩ resistor when the device is powered up.
This pin functions as MSEL[0] during power up and reset to determine the configuration scheme. Once the pin completes the MSEL function, it then functions according to the configuration scheme you have selected.
For more information, refer to the Device Configuration User Guide: Agilex 3 FPGAs and SoCs.</t>
  </si>
  <si>
    <t>This pin is pulled high internally by a 20kΩ resistor when the device is powered up.
This pin functions as MSEL[1] during power up to determines the configuration scheme. Once the pin completes the MSEL function, it then functions according to the configuration scheme you have selected.
For more information, refer to the Device Configuration User Guide: Agilex 3 FPGAs and SoCs.</t>
  </si>
  <si>
    <t>This pin is pulled low internally by a 20kΩ resistor when the device is powered up.
This pin functions differently depending on the configuration scheme used by setting the MSEL pins.</t>
  </si>
  <si>
    <t>This pin is pulled high internally by a 20kΩ resistor when the device is powered up.
This pin functions as MSEL[2] during power up to determines the configuration scheme. Once the pin completes the MSEL function, it then functions according to the configuration scheme you have selected.
For more information, refer to the Device Configuration User Guide: Agilex 3 FPGAs and SoCs.</t>
  </si>
  <si>
    <t>This pin is pulled high internally by a 20kΩ resistor when the device is powered up.</t>
  </si>
  <si>
    <t>By default, Altera recommends using the SDM_IO16 pin to implement the CONF_DONE function.
If SDM_IO16 is unavailable, the
CONF_DONE function can also be implemented using any unused SDM_IO pins.
Except for SDM_IO0 and SDM_IO16, other SDM_IO pins are required to connect to an external 4.7-kΩ pulldown resistor for the CONF_DONE signal.
Connect the CONF_DONE pin to the external configuration controller when configuring using the Avalon streaming interface.
You have an option to monitor this signal with an external component if you are using the active serial (AS) x4 configuration scheme.</t>
  </si>
  <si>
    <t>Altera recommends you to use
SDM_IO0 or SDM_IO16 to implement the INIT_DONE function when available as it has an internal weak pull-down for the correct function of INIT_DONE during power up.
If SDM_IO0 and SDM_IO16 are unavailable, SDM_IO5 can also be used for the INIT_DONE function when the configuration mode is set to Avalon streaming x8 or Avalon streaming x16 as these modes require an external 4.7–kΩ pulldown resistor.
If SDM_IO0, SDM_IO5, and
SDM_IO16 are unavailable, the
INIT_DONE function can also be implemented using any unused SDM_IO pins provided that an external 4.7–kΩ pull-down resistor is provided for the INIT_DONE signal.</t>
  </si>
  <si>
    <t>This is an active low, bidirectional pin. By default, this pin acts as an input pin to the SDM. When asserted externally, this pin generates interrupt to the SDM. The SDM then initiates a cold reset procedure to the HPS and its peripherals. If the cold reset is generated from internal sources (for example, the HPS EL3 software), the SDM switches this pin to output and drives a pulse to indicate reset. Once the cold reset procedure is complete, this pin switches back to input.</t>
  </si>
  <si>
    <t>Connect this pin through a 1–10-kΩ pull up to the VCCIO_SDM supply.
If using the HPS_COLD_nRESET functionality of this pin, connect this pin to an external logic device that manages the HPS Cold Reset behavior.
External devices must release this signal and allow the pin to float high when not driving it low.
Do not connect this pin to the reset input of any connected quad serial peripheral interface (quad SPI) devices.
If you do not intend to utilize the HPS, do not use this optional SDM signal on this pin.</t>
  </si>
  <si>
    <t>Direct to factory input pin.
When using the remote system upgrade feature, this optional pin allows you to choose between factory or application image. Driving logic high into this pin instructs the device to load factory image, while driving logic low into this pin instructs the device to load the application image.</t>
  </si>
  <si>
    <t>Connect this input pin to an external logic device that manages the remote system upgrade of the device. By default, the external logic should provide logic low to this pin so that the application image becomes the default image of the device, and only switch to factory image if required.</t>
  </si>
  <si>
    <t>The catastrophic trip signal, nCATTRIP, is an optional signal that you can assign to any unused SDM_IO pin. If enabled, the nCATTRIP signal always stays high and drives low when the core temperature is greater than the temperature threshold point that you set for your design. When the signal drives low, you must immediately power down the FPGA to avoid permanent damage to the device.</t>
  </si>
  <si>
    <t>Dual-purpose I/O pins that can be used for data inputs or outputs. On-chip termination such as differential input termination (RD OCT), parallel termination (RT OCT), and series termination (RS OCT) are supported on these pins.
For more information about the supported pins, refer to the device pin-out file.
When you do not use these pins as dedicated clock pins, you can use them as regular I/O pins.
Supported I/O standards:
•	1.0 V
•	1.05 V
•	1.1 V
•	1.2 V
•	1.3 V
These pins support the programmable pull-up resistor. For more information, refer to the Agilex™ 3 FPGAs and SoCs Device Data Sheet.</t>
  </si>
  <si>
    <t>Dual-purpose I/O pins that can be used as single-ended inputs, single-ended outputs, or external feedback input pins.
For more information about the supported pins, refer to the device pin-out file.
Supported I/O standards:
•	1.0 V
•	1.05 V
•	1.1 V
•	1.2 V
•	1.3 V
These pins support the programmable pull-up resistor. For more information, refer to the Agilex 3 FPGAs and SoCs Device Data Sheet.</t>
  </si>
  <si>
    <t>I/O pins that can be used as two single-ended clock output pins or one differential clock output pair.
For more information about the supported pins, refer to the device pin-out file.
Supported I/O standards:
•	1.0 V
•	1.05 V
•	1.1 V
•	1.2 V
•	1.3 V
These pins support the programmable pull-up resistor. For more information, refer to the Agilex 3 FPGAs and SoCs Device Data Sheet.</t>
  </si>
  <si>
    <t>DIFF_IO_[2][A,B]_[T,B][1:24][p,n]
DIFF_IO_[3][A,B]_[T,B][1:24][p,n]</t>
  </si>
  <si>
    <t>General-purpose input/output pins. Support I/O standards:
•	1.8-V LVCMOS I/O standard
•	1.8-V LVTTL I/O standard
•	2.5-V LVCMOS I/O standard
•	2.5-V LVTTL I/O standard
•	3.3-V LVCMOS I/O standard
•	3.3-V LVTTL I/O standard</t>
  </si>
  <si>
    <t>Reference clock input pins for IOPLL.</t>
  </si>
  <si>
    <t>Reference clock input pins to Fabric Core or RGMII interface. These pins can be used as RGMII receive clock when you have RGMII interface connected with the HVIO bank on board.</t>
  </si>
  <si>
    <t>Provide a single-ended external clock source to this pin when the pin is used as a reference clock.
Connect with RGMII_RX_CLK from Ethernet PHY when this pin is used as a RGMII receive clock. You can only use one of the two pins at a time as RGMII_RX_CLK.
Connect unused pins as defined in the Quartus Prime software.</t>
  </si>
  <si>
    <t>SYSPLLREFCLK_L1A[0:1]</t>
  </si>
  <si>
    <t>Reset input in PCIe case.
In a PCIe adapter card implementation, connect this signal from the PCIe edge connector to each GTS PCIe reset input pin. You must pull up the 3.3-V PCIe nPERST signal on the adapter card.
If the pin is assigned to PIN_PERST in the Quartus Prime IP but GTS is unused, tie to GND.
If VCCIO_HVIO is 1.8-V or 2.5-V, use a level translator to fan out and change the 3.3-V open-drain nPERST signal from the PCIe connector to this pin of each GTS transceiver that is used on the board.
In case when one reset pin controls multiple PCIe IPs in bifurcation mode, ensure that this signal is deasserted high after all IPs reference clocks are stable.</t>
  </si>
  <si>
    <t>Tie the VREFP_ADC pin to an external 1.25 V accurate reference source (±0.1%) for better ADC performance.
Treat the VREFP_ADC as an analog signal together with the VREFN_ADC signal that provides a differential 1.25 V voltage.
If no external reference is supplied, always connect the
VREFP_ADC pin to GND. An on-chip reference source (±2%) is activated if the external voltage reference source is disabled.
Do not drive the VREFP_ADC pin until the VCCADC power rail has reached 1.62 V to prevent damage.
Tie the VREFN_ADC pin to the GND for better ADC performance.
Treat VREFN_ADC as an analog signal together with the
VREFP_ADC signal that provides a differential 1.25 V voltage.
If no external reference is supplied, always connect the VREFN_ADC pin to GND.</t>
  </si>
  <si>
    <t>External biasing resistors for GTS.</t>
  </si>
  <si>
    <t>Clock input pin that drives the main PLL.
Connect a single-ended clock source to this pin. The I/O standard of the clock source must be compatible with VCCIO_HPS.
If you do not intend to utilize the HPS, you cannot use the HPS_OSC_CLK.</t>
  </si>
  <si>
    <r>
      <t xml:space="preserve">Select one of the 48 HPS dedicated I/O. For details of the supported frequency, refer to the </t>
    </r>
    <r>
      <rPr>
        <i/>
        <sz val="11"/>
        <color rgb="FF000000"/>
        <rFont val="Calibri"/>
        <family val="2"/>
        <scheme val="minor"/>
      </rPr>
      <t>Agilex 3 FPGAs and SoCs Device Data Sheet</t>
    </r>
    <r>
      <rPr>
        <sz val="11"/>
        <color rgb="FF000000"/>
        <rFont val="Calibri"/>
        <family val="2"/>
        <scheme val="minor"/>
      </rPr>
      <t>.</t>
    </r>
  </si>
  <si>
    <t>JTAG_TCK</t>
  </si>
  <si>
    <t>HPS JTAG test clock input pin.
Connect this pin through a 1-kΩ – 10-kΩ pull-down resistor to GND. Do not drive voltage higher than the VCCIO_HPS supply.
You can use the FPGA dedicated JTAG pins as an option to access the HPS JTAG.
If you do not intend to utilize the HPS, you cannot use the HPS_IOB pins.</t>
  </si>
  <si>
    <t>JTAG_TMS</t>
  </si>
  <si>
    <t>HPS JTAG test mode select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t>
  </si>
  <si>
    <t>JTAG_TDO</t>
  </si>
  <si>
    <t>HPS JTAG test data output pin.
You can use the FPGA dedicated JTAG pins as an option to access the HPS JTAG.
If you do not intend to utilize the HPS, you cannot use the HPS_IOB pins.</t>
  </si>
  <si>
    <t>JTAG_TDI</t>
  </si>
  <si>
    <t>HPS JTAG test data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t>
  </si>
  <si>
    <t>GPIO0_IO[0..23]</t>
  </si>
  <si>
    <t>General purpose input output.
Ensure that the I/O standard used is compatible with VCCIO_HPS.
Supports 1.8 V LVCMOS I/O standard.
If you do not intend to utilize the HPS, these pins are in tristate mode with a weak pull-up enabled. Ensure that the weak high state of each pin does not cause issues with external circuitry.</t>
  </si>
  <si>
    <t>SDMMC_CLK</t>
  </si>
  <si>
    <t>SDMMC_CMD</t>
  </si>
  <si>
    <t>SDMMC_DATA0</t>
  </si>
  <si>
    <t>SDMMC_DATA1</t>
  </si>
  <si>
    <t>SDMMC_DATA2</t>
  </si>
  <si>
    <t>SDMMC_DATA3</t>
  </si>
  <si>
    <t>SDMMC_DATA4</t>
  </si>
  <si>
    <t>SDMMC_DATA5</t>
  </si>
  <si>
    <t>SDMMC_DATA6</t>
  </si>
  <si>
    <t>SDMMC_DATA7</t>
  </si>
  <si>
    <t>NAND_ADQ0</t>
  </si>
  <si>
    <t>NAND_ADQ1</t>
  </si>
  <si>
    <t>NAND_WE_N</t>
  </si>
  <si>
    <t>NAND_RE_N</t>
  </si>
  <si>
    <t>NAND_WP_N</t>
  </si>
  <si>
    <t>NAND_ADQ2</t>
  </si>
  <si>
    <t>NAND_ADQ3</t>
  </si>
  <si>
    <t>NAND_CLE</t>
  </si>
  <si>
    <t>NAND_ADQ4</t>
  </si>
  <si>
    <t>NAND_ADQ5</t>
  </si>
  <si>
    <t>NAND_ADQ6</t>
  </si>
  <si>
    <t>NAND_ADQ7</t>
  </si>
  <si>
    <t>NAND_ALE</t>
  </si>
  <si>
    <t>NAND_CE_N</t>
  </si>
  <si>
    <t>NAND_ADQ8</t>
  </si>
  <si>
    <t>NAND_ADQ9</t>
  </si>
  <si>
    <t>NAND_ADQ10</t>
  </si>
  <si>
    <t>NAND_ADQ11</t>
  </si>
  <si>
    <t>NAND_ADQ12</t>
  </si>
  <si>
    <t>NAND_ADQ13</t>
  </si>
  <si>
    <t>NAND_ADQ14</t>
  </si>
  <si>
    <t>NAND_ADQ15</t>
  </si>
  <si>
    <t>NAND Ready/Busy.
Connect this pin through a pull-up resistor to VCCIO_HPS. For more information of the pull-up resistor value, refer to the NAND flash specification.</t>
  </si>
  <si>
    <t>USB0_CLK</t>
  </si>
  <si>
    <t>USB0_STP</t>
  </si>
  <si>
    <t>USB0_DIR</t>
  </si>
  <si>
    <t>USB0_DATA0</t>
  </si>
  <si>
    <t>USB0_DATA1</t>
  </si>
  <si>
    <t>USB0_NXT</t>
  </si>
  <si>
    <t>USB0_DATA2</t>
  </si>
  <si>
    <t>USB0_DATA3</t>
  </si>
  <si>
    <t>USB0_DATA4</t>
  </si>
  <si>
    <t>USB0_DATA5</t>
  </si>
  <si>
    <t>USB0_DATA6</t>
  </si>
  <si>
    <t>USB0_DATA7</t>
  </si>
  <si>
    <t>USB1_CLK</t>
  </si>
  <si>
    <t>USB1_STP</t>
  </si>
  <si>
    <t>USB1_DIR</t>
  </si>
  <si>
    <t>USB1_DATA0</t>
  </si>
  <si>
    <t>USB1_DATA1</t>
  </si>
  <si>
    <t>USB1_NXT</t>
  </si>
  <si>
    <t>USB1_DATA2</t>
  </si>
  <si>
    <t>USB1_DATA3</t>
  </si>
  <si>
    <t>USB1_DATA4</t>
  </si>
  <si>
    <t>USB1_DATA5</t>
  </si>
  <si>
    <t>USB1_DATA6</t>
  </si>
  <si>
    <t>USB1_DATA7</t>
  </si>
  <si>
    <t>USB0 Stop Data.</t>
  </si>
  <si>
    <t>USB0 Direction.</t>
  </si>
  <si>
    <t>USB0 Data Bit 0.</t>
  </si>
  <si>
    <t>USB0 Data Bit 1.</t>
  </si>
  <si>
    <t>USB0 Next Data.</t>
  </si>
  <si>
    <t>USB0 Data Bit 2.</t>
  </si>
  <si>
    <t>USB0 Data Bit 3</t>
  </si>
  <si>
    <t>USB0 Data Bit 4.</t>
  </si>
  <si>
    <t>USB0 Data Bit 5.</t>
  </si>
  <si>
    <t>USB0 Data Bit 6.</t>
  </si>
  <si>
    <t>USB0 Data Bit 7.</t>
  </si>
  <si>
    <t>USB1 Stop Data.</t>
  </si>
  <si>
    <t>USB1 Direction.</t>
  </si>
  <si>
    <t>USB1 Data Bit 0.</t>
  </si>
  <si>
    <t>USB1 Data Bit 1.</t>
  </si>
  <si>
    <t>USB1 Next Data.</t>
  </si>
  <si>
    <t>USB1 Data Bit 2.</t>
  </si>
  <si>
    <t>USB1 Data Bit 3.</t>
  </si>
  <si>
    <t>USB1 Data Bit 4.</t>
  </si>
  <si>
    <t>USB1 Data Bit 5.</t>
  </si>
  <si>
    <t>USB1 Data Bit 6.</t>
  </si>
  <si>
    <t>USB1 Data Bit 7.</t>
  </si>
  <si>
    <t>EMAC0_TX_CLK</t>
  </si>
  <si>
    <t>EMAC0_TX_CTL</t>
  </si>
  <si>
    <t>EMAC0_RX_CLK</t>
  </si>
  <si>
    <t>EMAC0_RX_CTL</t>
  </si>
  <si>
    <t>EMAC0_TXD0</t>
  </si>
  <si>
    <t>EMAC0_TXD1</t>
  </si>
  <si>
    <t>EMAC0_RXD0</t>
  </si>
  <si>
    <t>EMAC0_RXD1</t>
  </si>
  <si>
    <t>EMAC0_TXD2</t>
  </si>
  <si>
    <t>EMAC0_TXD3</t>
  </si>
  <si>
    <t>EMAC0_RXD2</t>
  </si>
  <si>
    <t>EMAC0_RXD3</t>
  </si>
  <si>
    <t>EMAC1_TX_CLK</t>
  </si>
  <si>
    <t>EMAC1_TX_CTL</t>
  </si>
  <si>
    <t>EMAC1_RX_CLK</t>
  </si>
  <si>
    <t>EMAC1_RX_CTL</t>
  </si>
  <si>
    <t>EMAC1_TXD0</t>
  </si>
  <si>
    <t>EMAC1_TXD1</t>
  </si>
  <si>
    <t>EMAC1_RXD0</t>
  </si>
  <si>
    <t>EMAC1_RXD1</t>
  </si>
  <si>
    <t>EMAC1_TXD2</t>
  </si>
  <si>
    <t>EMAC1_TXD3</t>
  </si>
  <si>
    <t>EMAC1_RXD2</t>
  </si>
  <si>
    <t>EMAC1_RXD3</t>
  </si>
  <si>
    <t>EMAC2_TX_CLK</t>
  </si>
  <si>
    <t>EMAC2_TX_CTL</t>
  </si>
  <si>
    <t>EMAC2_RX_CLK</t>
  </si>
  <si>
    <t>EMAC2_RX_CTL</t>
  </si>
  <si>
    <t>EMAC2_TXD0</t>
  </si>
  <si>
    <t>EMAC2_TXD1</t>
  </si>
  <si>
    <t>EMAC2_RXD0</t>
  </si>
  <si>
    <t>EMAC2_RXD1</t>
  </si>
  <si>
    <t>EMAC2_TXD2</t>
  </si>
  <si>
    <t>EMAC2_TXD3</t>
  </si>
  <si>
    <t>EMAC2_RXD2</t>
  </si>
  <si>
    <t>EMAC2_RXD3</t>
  </si>
  <si>
    <t>EMAC0 Transmit Clock.</t>
  </si>
  <si>
    <t>EMAC0 Transmit Control.</t>
  </si>
  <si>
    <t>EMAC0 Receive Clock.</t>
  </si>
  <si>
    <t>EMAC0 Receive Control.</t>
  </si>
  <si>
    <t>EMAC0 Transmit Data Bit 0.</t>
  </si>
  <si>
    <t>EMAC0 Transmit Data Bit 1.</t>
  </si>
  <si>
    <t>EMAC0 Receive Data Bit 0.</t>
  </si>
  <si>
    <t>EMAC0 Receive Data Bit 1.</t>
  </si>
  <si>
    <t>EMAC0 Transmit Data Bit 2.</t>
  </si>
  <si>
    <t>EMAC0 Transmit Data Bit 3.</t>
  </si>
  <si>
    <t>EMAC0 Receive Data Bit 2.</t>
  </si>
  <si>
    <t>EMAC0 Receive Data Bit 3</t>
  </si>
  <si>
    <t>EMAC0 1PPS signal.</t>
  </si>
  <si>
    <t>EMAC0 1PPS trigger signal.</t>
  </si>
  <si>
    <t>EMAC1 Transmit Clock.</t>
  </si>
  <si>
    <t>EMAC1 Transmit Control.</t>
  </si>
  <si>
    <t>EMAC1 Receive Clock.</t>
  </si>
  <si>
    <t>EMAC1 Receive Control.</t>
  </si>
  <si>
    <t>EMAC1 Transmit Data Bit 0.</t>
  </si>
  <si>
    <t>EMAC1 Transmit Data Bit 1.</t>
  </si>
  <si>
    <t>EMAC1 Receive Data Bit 0.</t>
  </si>
  <si>
    <t>EMAC1 Receive Data Bit 1.</t>
  </si>
  <si>
    <t>EMAC1 Transmit Data Bit 2.</t>
  </si>
  <si>
    <t>EMAC1 Transmit Data Bit 3.</t>
  </si>
  <si>
    <t>EMAC1 Receive Data Bit 2.</t>
  </si>
  <si>
    <t>EMAC1 Receive Data Bit 3.</t>
  </si>
  <si>
    <t>EMAC1 1PPS signal.</t>
  </si>
  <si>
    <t>EMAC1 1PPS trigger signal.</t>
  </si>
  <si>
    <t>EMAC2 Transmit Clock.</t>
  </si>
  <si>
    <t>EMAC2 Transmit Control.</t>
  </si>
  <si>
    <t>EMAC2 Receive Clock.</t>
  </si>
  <si>
    <t>EMAC2 Receive Control.</t>
  </si>
  <si>
    <t>EMAC2 Transmit Data Bit 0.</t>
  </si>
  <si>
    <t>EMAC2 Transmit Data Bit 1.</t>
  </si>
  <si>
    <t>EMAC2 Receive Data Bit 0.</t>
  </si>
  <si>
    <t>EMAC2 Receive Data Bit 1.</t>
  </si>
  <si>
    <t>EMAC2 Transmit Data Bit 2.</t>
  </si>
  <si>
    <t>EMAC2 Transmit Data Bit 3.</t>
  </si>
  <si>
    <t>EMAC2 Receive Data Bit 2.</t>
  </si>
  <si>
    <t>EMAC2 Receive Data Bit 3.</t>
  </si>
  <si>
    <t>EMAC2 1PPS signal.</t>
  </si>
  <si>
    <t>EMAC2 1PPS trigger signal.</t>
  </si>
  <si>
    <t>I2C_EMAC2_SDA</t>
  </si>
  <si>
    <t>I2C_EMAC2_SCL</t>
  </si>
  <si>
    <t>I2C_EMAC1_SDA</t>
  </si>
  <si>
    <t>I2C_EMAC1_SCL</t>
  </si>
  <si>
    <t>I2C_EMAC0_SDA</t>
  </si>
  <si>
    <t>I2C_EMAC0_SCL</t>
  </si>
  <si>
    <t>MDIO0_MDIO</t>
  </si>
  <si>
    <t>MDIO0_MDC</t>
  </si>
  <si>
    <t>MDIO1_MDIO</t>
  </si>
  <si>
    <t>MDIO1_MDC</t>
  </si>
  <si>
    <t>MDIO2_MDIO</t>
  </si>
  <si>
    <t>MDIO2_MDC</t>
  </si>
  <si>
    <t>I2C EMAC2 Serial Data.</t>
  </si>
  <si>
    <t>I2C EMAC2 Serial Clock.</t>
  </si>
  <si>
    <t>I2C EMAC1 Serial Data.</t>
  </si>
  <si>
    <t>I2C EMAC1 Serial Clock.</t>
  </si>
  <si>
    <t>I2C EMAC0 Serial Data.</t>
  </si>
  <si>
    <t>I2C EMAC0 Serial Clock.</t>
  </si>
  <si>
    <t>EMAC0 MDIO.</t>
  </si>
  <si>
    <t>EMAC0 MDC.</t>
  </si>
  <si>
    <t>EMAC1 MDIO.</t>
  </si>
  <si>
    <t>EMAC1 MDC.</t>
  </si>
  <si>
    <t>EMAC2 MDIO.</t>
  </si>
  <si>
    <t>EMAC2 MDC.</t>
  </si>
  <si>
    <t>I2C0_SDA</t>
  </si>
  <si>
    <t>I2C0_SCL</t>
  </si>
  <si>
    <t>I2C1_SDA</t>
  </si>
  <si>
    <t>I2C1_SCL</t>
  </si>
  <si>
    <t>I2C0 Serial Data.</t>
  </si>
  <si>
    <t>I2C0 Serial Clock.</t>
  </si>
  <si>
    <t>I2C1 Serial Data.</t>
  </si>
  <si>
    <t>I2C1 Serial Clock.</t>
  </si>
  <si>
    <t>I3C0_SDA</t>
  </si>
  <si>
    <t>I3C0_SCL</t>
  </si>
  <si>
    <t>I3C1_SDA</t>
  </si>
  <si>
    <t>I3C1_SCL</t>
  </si>
  <si>
    <t>I3C0 Serial Data.</t>
  </si>
  <si>
    <t>I3C0 Serial Clock.</t>
  </si>
  <si>
    <t>I3C1 Serial Data.</t>
  </si>
  <si>
    <t>I3C1 Serial Clock.</t>
  </si>
  <si>
    <t>SPIM0_CLK</t>
  </si>
  <si>
    <t>SPIM0_MOSI</t>
  </si>
  <si>
    <t>SPIM0_MISO</t>
  </si>
  <si>
    <t>SPIM0_SS0_N</t>
  </si>
  <si>
    <t>SPIM0_SS1_N</t>
  </si>
  <si>
    <t>SPIM1_CLK</t>
  </si>
  <si>
    <t>SPIM1_MOSI</t>
  </si>
  <si>
    <t>SPIM1_MISO</t>
  </si>
  <si>
    <t>SPIM1_SS0_N</t>
  </si>
  <si>
    <t>SPIM1_SS1_N</t>
  </si>
  <si>
    <t>SPIS0_CLK</t>
  </si>
  <si>
    <t>SPIS0_MOSI</t>
  </si>
  <si>
    <t>SPIS0_MISO</t>
  </si>
  <si>
    <t>SPIS0_SS0_N</t>
  </si>
  <si>
    <t>SPIS1_CLK</t>
  </si>
  <si>
    <t>SPIS1_MOSI</t>
  </si>
  <si>
    <t>SPIS1_MISO</t>
  </si>
  <si>
    <t>SPIS1_SS0_N</t>
  </si>
  <si>
    <t>SPIM0 Clock.</t>
  </si>
  <si>
    <t>SPIM1 Master In Slave Out.</t>
  </si>
  <si>
    <t>SPIS0 Clock.</t>
  </si>
  <si>
    <t>SPIS1 Master Out Slave In.</t>
  </si>
  <si>
    <t>UART0_CTS_N</t>
  </si>
  <si>
    <t>UART0_RTS_N</t>
  </si>
  <si>
    <t>UART0_TX</t>
  </si>
  <si>
    <t>UART0_RX</t>
  </si>
  <si>
    <t>UART1_CTS_N</t>
  </si>
  <si>
    <t>UART1_RTS_N</t>
  </si>
  <si>
    <t>UART1_TX</t>
  </si>
  <si>
    <t>UART1_RX</t>
  </si>
  <si>
    <t>UART0 Transmit.</t>
  </si>
  <si>
    <t>UART0 Receive.</t>
  </si>
  <si>
    <r>
      <t xml:space="preserve">Do not connect to power, </t>
    </r>
    <r>
      <rPr>
        <sz val="11"/>
        <color rgb="FF000000"/>
        <rFont val="Calibri"/>
        <family val="2"/>
        <scheme val="minor"/>
      </rPr>
      <t>GND, or any other signal. These pins must be left floating.</t>
    </r>
  </si>
  <si>
    <t>When designing for device migration, you have the option to connect these pins to either power, GND, or a signal trace depending on the pin assignment of the devices selected for migration.
However, if device migration is not a concern, leave these pins floating.</t>
  </si>
  <si>
    <t>AVSTX8</t>
  </si>
  <si>
    <t>AVSTX16</t>
  </si>
  <si>
    <t>AS</t>
  </si>
  <si>
    <t>A3C100B23C</t>
  </si>
  <si>
    <t>A3C135B23C</t>
  </si>
  <si>
    <t>A3C025B18B</t>
  </si>
  <si>
    <t>A3C050B18B</t>
  </si>
  <si>
    <t>A3C065B18B</t>
  </si>
  <si>
    <t>A3C025M12A</t>
  </si>
  <si>
    <t>A3C050M12A</t>
  </si>
  <si>
    <t>FPGA A3C135/100 B18A/M16A Fabric</t>
  </si>
  <si>
    <t>Pin Connection Guideline2</t>
  </si>
  <si>
    <t>I/O, bidirectional</t>
  </si>
  <si>
    <t>Optional data strobe signal for use in external memory interfacing. These pins drive to the dedicated DQS phase shift circuitry.
Supported I/O standards:
• LVSTL 1.1-V I/O standard</t>
  </si>
  <si>
    <t>DQSn[0:63]</t>
  </si>
  <si>
    <t>Optional complementary data strobe signal for use in external memory interfacing. These pins drive to the dedicated DQS phase shift circuitry.
Supported I/O standards:
• LVSTL 1.1-V I/O standard</t>
  </si>
  <si>
    <t>Optional data signal for use in external memory interfacing. Analyze the available DQ pins across all pertinent DQS columns in the device pin-out file.
Supported I/O standards:
• LVSTL 1.1-V I/O standard
For the DQ pin swapping guidelines, refer to the External Memory Interfaces (EMIF) IP User Guide: Agilex 3 FPGA and SoCs.</t>
  </si>
  <si>
    <t>FPGA A3C065/050/025 B18A Fabric</t>
  </si>
  <si>
    <t>A3C065B18A</t>
  </si>
  <si>
    <t>A3C050B18A</t>
  </si>
  <si>
    <t>A3C025B18A</t>
  </si>
  <si>
    <t>N/A</t>
  </si>
  <si>
    <t>VCCPLL1_HPS VCCPLL2_HPS</t>
  </si>
  <si>
    <t>VCCPLLDIG1_HPS VCCPLLDIG2_HPS</t>
  </si>
  <si>
    <t>Connect these pins to a 1.8-V power supply. You have the option to share VCCPLL1_HPS  VCCPLL2_HPS with the same regulator as VCCPLL_SDM.
If you do not intend to utilize the HPS in the Agilex 3 device, you must still provide power to the HPS power supply. Do not leave the VCCPLL1_HPS VCCPLL2_HPS floating or connected to GND.</t>
  </si>
  <si>
    <t>Connect this to the VCCL_HPS with proper isolation filtering.
If you do not intend to utilize the HPS in the Agilex 3 device, you must still provide power to the HPS power supply. Do not leave the  VCCPLLDIG1_HPS VCCPLLDIG2_HPS floating or connected to GND.</t>
  </si>
  <si>
    <t>VCCIO_PIO_2[A,B]T VCCIO_PIO_2[A,B]B VCCIO_PIO_3[A,B]T VCCIO_PIO_3[A,B]B</t>
  </si>
  <si>
    <t>None</t>
  </si>
  <si>
    <t>A3CY025BB18AE6S</t>
  </si>
  <si>
    <t>A3CY025BB18A</t>
  </si>
  <si>
    <t>SM18</t>
  </si>
  <si>
    <t>25.1.1</t>
  </si>
  <si>
    <t>A3CY025BB18AE7S</t>
  </si>
  <si>
    <t>A3CY025BB18AI6S</t>
  </si>
  <si>
    <t>A3CY025BB18AI7S</t>
  </si>
  <si>
    <t>A3CY050BB18AE6S</t>
  </si>
  <si>
    <t>A3CY050BB18A</t>
  </si>
  <si>
    <t>A3CY050BB18AE7S</t>
  </si>
  <si>
    <t>A3CY050BB18AI6S</t>
  </si>
  <si>
    <t>A3CY050BB18AI7S</t>
  </si>
  <si>
    <t>A3CY065BB18AE6S</t>
  </si>
  <si>
    <t>A3CY065BB18A</t>
  </si>
  <si>
    <t>A3CY065BB18AE7S</t>
  </si>
  <si>
    <t>A3CY065BB18AI6S</t>
  </si>
  <si>
    <t>A3CY065BB18AI7S</t>
  </si>
  <si>
    <t>A3CY135BB18AE6SR0</t>
  </si>
  <si>
    <t>A3CY135BB18A_R0</t>
  </si>
  <si>
    <t>A3CZ025BB18AE7S</t>
  </si>
  <si>
    <t>A3CZ025BB18A</t>
  </si>
  <si>
    <t>A3CZ025BB18AI7S</t>
  </si>
  <si>
    <t>A3CZ050BB18AE7S</t>
  </si>
  <si>
    <t>A3CZ050BB18A</t>
  </si>
  <si>
    <t>A3CZ050BB18AI7S</t>
  </si>
  <si>
    <t>A3CZ065BB18AE7S</t>
  </si>
  <si>
    <t>A3CZ065BB18A</t>
  </si>
  <si>
    <t>A3CZ065BB18AI7S</t>
  </si>
  <si>
    <t>Version 1.1</t>
  </si>
  <si>
    <t>Update OPN to 25.1.1</t>
  </si>
  <si>
    <t>June 6 2025</t>
  </si>
  <si>
    <t>May 6 2025</t>
  </si>
  <si>
    <t>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t>
  </si>
  <si>
    <t>Connect unused pins as defined in the Quartus Prime software.
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t>
  </si>
  <si>
    <t>altera123</t>
  </si>
  <si>
    <t>--Select--</t>
  </si>
  <si>
    <t xml:space="preserve">                                    Version 1.1</t>
  </si>
  <si>
    <t>© Altera Corporation. Altera, the Altera logo, the ‘a’ logo, and other Altera marks are trademarks of Altera Corporation. Altera reserves the right to make changes to any products and services at any time without notice. Altera assumes no responsibility or liability arising out of the application or use of any information, product, or service described herein except as expressly agreed to in writing by Altera. Altera customers are advised to obtain the latest version of device specifications before relying on any published information and before placing orders for products or services.
*Other names and brands may be claimed as the property of others.
*Certain fonts and icons used in this document are from Google Fonts and Material Icons, licensed under the Apache License 2.0.  
https://www.apache.org/licenses/LICENSE-2.0.txt</t>
  </si>
  <si>
    <t>connected correctly to 0.78V</t>
  </si>
  <si>
    <t>connected correctly to 1.8V</t>
  </si>
  <si>
    <t>Connected correctly to 1.2V</t>
  </si>
  <si>
    <t>connected correctly to 1.0V</t>
  </si>
  <si>
    <t xml:space="preserve">VCCIO_PIO_2A[T,B] CONNECTED TO 1.3V,  VCCIO_PIO_3A[T,B] CONNECTED TO 1.1V , </t>
  </si>
  <si>
    <t>Connected correctly to 1.8V</t>
  </si>
  <si>
    <t>Connected correctly to 0.78v</t>
  </si>
  <si>
    <t>Connected correctly to gnd</t>
  </si>
  <si>
    <t>Connected to voltage regulator</t>
  </si>
  <si>
    <t>Connected correctly to 3.3v</t>
  </si>
  <si>
    <t>Connected correctly to 1.0V</t>
  </si>
  <si>
    <t>Connected correctly</t>
  </si>
  <si>
    <t>connected to gnd</t>
  </si>
  <si>
    <t>unconnected / floating</t>
  </si>
  <si>
    <t>not used</t>
  </si>
  <si>
    <t>connected correctly to gnd</t>
  </si>
  <si>
    <t>Used for pheripherals</t>
  </si>
  <si>
    <t>floating</t>
  </si>
  <si>
    <t>not tied to gnd</t>
  </si>
  <si>
    <t>connected to 25 MHz</t>
  </si>
  <si>
    <t>Not used</t>
  </si>
  <si>
    <t>Connected corrcetly pulled up to 1.8v with 10k</t>
  </si>
  <si>
    <t>Connected to 100MHz</t>
  </si>
  <si>
    <t>MSEL 1</t>
  </si>
  <si>
    <t>TP 9</t>
  </si>
  <si>
    <t>MSEL 2</t>
  </si>
  <si>
    <t>AS X4 QSPI RESET</t>
  </si>
  <si>
    <t>PULLED DOWN TO GND</t>
  </si>
  <si>
    <t>TP 10</t>
  </si>
  <si>
    <t>connected to init done pulled up to 1.8v with 10k</t>
  </si>
  <si>
    <t>HPS_COLD_RESET PULLED UP WITH 10 K TO 1.8V</t>
  </si>
  <si>
    <t>Connected correctly to 0.78V</t>
  </si>
  <si>
    <t>Connected corrcetly pulled down to GND 1k</t>
  </si>
  <si>
    <t>Connected corrcetly pulled up to 1.8V WITH 10k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</si>
</sst>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4">
    <font>
      <sz val="11"/>
      <color theme="1"/>
      <name val="Calibri"/>
      <family val="2"/>
      <scheme val="minor"/>
    </font>
    <font>
      <sz val="8"/>
      <name val="Calibri"/>
      <family val="2"/>
      <scheme val="minor"/>
    </font>
    <font>
      <b/>
      <sz val="11"/>
      <color theme="0"/>
      <name val="Calibri"/>
      <family val="2"/>
      <scheme val="minor"/>
    </font>
    <font>
      <sz val="11"/>
      <color theme="1"/>
      <name val="Intel Clear"/>
      <family val="2"/>
    </font>
    <font>
      <b/>
      <sz val="11"/>
      <color theme="0"/>
      <name val="Intel Clear"/>
      <family val="2"/>
    </font>
    <font>
      <sz val="11"/>
      <name val="Intel Clear"/>
      <family val="2"/>
    </font>
    <font>
      <sz val="11"/>
      <color rgb="FF000000"/>
      <name val="Intel Clear"/>
      <family val="2"/>
    </font>
    <font>
      <sz val="11"/>
      <color rgb="FF000000"/>
      <name val="Verdana"/>
      <family val="2"/>
    </font>
    <font>
      <b/>
      <sz val="11"/>
      <color rgb="FF0071C5"/>
      <name val="Intel Clear"/>
      <family val="2"/>
    </font>
    <font>
      <sz val="11"/>
      <color rgb="FF006100"/>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u/>
      <sz val="11"/>
      <color theme="1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i/>
      <sz val="11"/>
      <color rgb="FF7F7F7F"/>
      <name val="Calibri"/>
      <family val="2"/>
      <scheme val="minor"/>
    </font>
    <font>
      <sz val="9"/>
      <name val="Calibri"/>
      <family val="3"/>
      <charset val="134"/>
      <scheme val="minor"/>
    </font>
    <font>
      <sz val="11"/>
      <color theme="1"/>
      <name val="IntelOne Text"/>
      <family val="2"/>
    </font>
    <font>
      <b/>
      <sz val="11"/>
      <color theme="1"/>
      <name val="Intel Clear"/>
      <family val="2"/>
    </font>
    <font>
      <sz val="11"/>
      <color rgb="FF000000"/>
      <name val="Calibri"/>
      <family val="2"/>
    </font>
    <font>
      <sz val="11"/>
      <color theme="0"/>
      <name val="Intel Clear"/>
      <family val="2"/>
    </font>
    <font>
      <sz val="11"/>
      <color theme="1"/>
      <name val="Verdana"/>
      <family val="2"/>
    </font>
    <font>
      <sz val="11"/>
      <name val="Verdana"/>
      <family val="2"/>
    </font>
    <font>
      <b/>
      <sz val="12"/>
      <color theme="0"/>
      <name val="Verdana"/>
      <family val="2"/>
    </font>
    <font>
      <b/>
      <sz val="16"/>
      <color theme="0"/>
      <name val="Verdana"/>
      <family val="2"/>
    </font>
    <font>
      <sz val="11"/>
      <color theme="0"/>
      <name val="Verdana"/>
      <family val="2"/>
    </font>
    <font>
      <sz val="10.5"/>
      <color theme="1"/>
      <name val="Verdana"/>
      <family val="2"/>
    </font>
    <font>
      <sz val="10"/>
      <name val="Verdana"/>
      <family val="2"/>
    </font>
    <font>
      <sz val="10"/>
      <color theme="0"/>
      <name val="Verdana"/>
      <family val="2"/>
    </font>
    <font>
      <sz val="14"/>
      <color theme="1"/>
      <name val="Verdana"/>
      <family val="2"/>
    </font>
    <font>
      <sz val="12"/>
      <color theme="0"/>
      <name val="Verdana"/>
      <family val="2"/>
    </font>
    <font>
      <b/>
      <sz val="12"/>
      <color theme="1"/>
      <name val="Verdana"/>
      <family val="2"/>
    </font>
    <font>
      <b/>
      <sz val="11"/>
      <color theme="1"/>
      <name val="Verdana"/>
      <family val="2"/>
    </font>
    <font>
      <b/>
      <sz val="11"/>
      <color theme="0"/>
      <name val="Verdana"/>
      <family val="2"/>
    </font>
    <font>
      <sz val="11"/>
      <color rgb="FF0070C0"/>
      <name val="Verdana"/>
      <family val="2"/>
    </font>
    <font>
      <u/>
      <sz val="11"/>
      <color theme="10"/>
      <name val="Verdana"/>
      <family val="2"/>
    </font>
    <font>
      <b/>
      <sz val="20"/>
      <color theme="0"/>
      <name val="Verdana"/>
      <family val="2"/>
    </font>
    <font>
      <sz val="16"/>
      <color theme="0"/>
      <name val="Verdana"/>
      <family val="2"/>
    </font>
    <font>
      <sz val="14"/>
      <name val="Verdana"/>
      <family val="2"/>
    </font>
    <font>
      <sz val="20"/>
      <color theme="1"/>
      <name val="Verdana"/>
      <family val="2"/>
    </font>
    <font>
      <sz val="11"/>
      <color rgb="FF000000"/>
      <name val="Calibri"/>
      <family val="2"/>
      <scheme val="minor"/>
    </font>
    <font>
      <i/>
      <sz val="11"/>
      <color rgb="FF000000"/>
      <name val="Calibri"/>
      <family val="2"/>
      <scheme val="minor"/>
    </font>
  </fonts>
  <fills count="31">
    <fill>
      <patternFill patternType="none"/>
    </fill>
    <fill>
      <patternFill patternType="gray125"/>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1"/>
        <bgColor theme="1"/>
      </patternFill>
    </fill>
    <fill>
      <patternFill patternType="solid">
        <fgColor theme="0"/>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79998168889431442"/>
        <bgColor indexed="64"/>
      </patternFill>
    </fill>
    <fill>
      <patternFill patternType="solid">
        <fgColor theme="4"/>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theme="6"/>
      </patternFill>
    </fill>
    <fill>
      <patternFill patternType="solid">
        <fgColor rgb="FFFFCC99"/>
      </patternFill>
    </fill>
    <fill>
      <patternFill patternType="solid">
        <fgColor rgb="FFF2F2F2"/>
      </patternFill>
    </fill>
    <fill>
      <patternFill patternType="solid">
        <fgColor rgb="FF8BAE46"/>
        <bgColor indexed="64"/>
      </patternFill>
    </fill>
    <fill>
      <patternFill patternType="solid">
        <fgColor rgb="FFFEC91B"/>
        <bgColor indexed="64"/>
      </patternFill>
    </fill>
    <fill>
      <patternFill patternType="solid">
        <fgColor rgb="FFC81326"/>
        <bgColor indexed="64"/>
      </patternFill>
    </fill>
    <fill>
      <patternFill patternType="solid">
        <fgColor theme="0" tint="-0.14999847407452621"/>
        <bgColor indexed="64"/>
      </patternFill>
    </fill>
    <fill>
      <patternFill patternType="solid">
        <fgColor rgb="FFE7EBF3"/>
        <bgColor indexed="64"/>
      </patternFill>
    </fill>
    <fill>
      <patternFill patternType="solid">
        <fgColor theme="0" tint="-0.499984740745262"/>
        <bgColor indexed="64"/>
      </patternFill>
    </fill>
    <fill>
      <patternFill patternType="solid">
        <fgColor rgb="FF808080"/>
        <bgColor indexed="64"/>
      </patternFill>
    </fill>
    <fill>
      <patternFill patternType="solid">
        <fgColor rgb="FF0054AE"/>
        <bgColor indexed="64"/>
      </patternFill>
    </fill>
    <fill>
      <patternFill patternType="solid">
        <fgColor theme="1" tint="0.499984740745262"/>
        <bgColor indexed="64"/>
      </patternFill>
    </fill>
    <fill>
      <patternFill patternType="solid">
        <fgColor rgb="FF92D050"/>
        <bgColor rgb="FF000000"/>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theme="4"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thin">
        <color indexed="64"/>
      </left>
      <right/>
      <top style="thin">
        <color indexed="64"/>
      </top>
      <bottom/>
      <diagonal/>
    </border>
    <border>
      <left/>
      <right/>
      <top/>
      <bottom style="thick">
        <color auto="1"/>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diagonal/>
    </border>
    <border>
      <left/>
      <right style="thick">
        <color indexed="64"/>
      </right>
      <top/>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indexed="64"/>
      </top>
      <bottom/>
      <diagonal/>
    </border>
    <border>
      <left style="thin">
        <color theme="6"/>
      </left>
      <right/>
      <top style="thin">
        <color theme="6"/>
      </top>
      <bottom style="thin">
        <color theme="6"/>
      </bottom>
      <diagonal/>
    </border>
    <border>
      <left/>
      <right/>
      <top style="thin">
        <color theme="6"/>
      </top>
      <bottom style="thin">
        <color theme="6"/>
      </bottom>
      <diagonal/>
    </border>
    <border>
      <left/>
      <right style="thin">
        <color theme="6"/>
      </right>
      <top style="thin">
        <color theme="6"/>
      </top>
      <bottom style="thin">
        <color theme="6"/>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theme="6"/>
      </left>
      <right/>
      <top/>
      <bottom/>
      <diagonal/>
    </border>
    <border>
      <left/>
      <right style="thin">
        <color theme="6"/>
      </right>
      <top/>
      <bottom/>
      <diagonal/>
    </border>
    <border>
      <left style="thin">
        <color theme="6"/>
      </left>
      <right/>
      <top/>
      <bottom style="thin">
        <color theme="6"/>
      </bottom>
      <diagonal/>
    </border>
    <border>
      <left/>
      <right/>
      <top/>
      <bottom style="thin">
        <color theme="6"/>
      </bottom>
      <diagonal/>
    </border>
    <border>
      <left/>
      <right style="thin">
        <color theme="6"/>
      </right>
      <top/>
      <bottom style="thin">
        <color theme="6"/>
      </bottom>
      <diagonal/>
    </border>
    <border>
      <left style="thin">
        <color theme="6"/>
      </left>
      <right style="thin">
        <color theme="6"/>
      </right>
      <top style="thin">
        <color theme="6"/>
      </top>
      <bottom style="thin">
        <color theme="6"/>
      </bottom>
      <diagonal/>
    </border>
    <border>
      <left style="thin">
        <color theme="4" tint="0.39997558519241921"/>
      </left>
      <right/>
      <top style="thin">
        <color theme="4" tint="0.39997558519241921"/>
      </top>
      <bottom style="thin">
        <color theme="4" tint="0.3999755851924192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1"/>
      </top>
      <bottom/>
      <diagonal/>
    </border>
    <border>
      <left style="thin">
        <color theme="6"/>
      </left>
      <right style="thin">
        <color theme="6"/>
      </right>
      <top style="thin">
        <color theme="6"/>
      </top>
      <bottom/>
      <diagonal/>
    </border>
  </borders>
  <cellStyleXfs count="10">
    <xf numFmtId="0" fontId="0" fillId="0" borderId="0"/>
    <xf numFmtId="0" fontId="9" fillId="15" borderId="0" applyNumberFormat="0" applyBorder="0" applyAlignment="0" applyProtection="0"/>
    <xf numFmtId="0" fontId="10" fillId="16" borderId="0" applyNumberFormat="0" applyBorder="0" applyAlignment="0" applyProtection="0"/>
    <xf numFmtId="0" fontId="11" fillId="17" borderId="0" applyNumberFormat="0" applyBorder="0" applyAlignment="0" applyProtection="0"/>
    <xf numFmtId="0" fontId="12" fillId="18" borderId="0" applyNumberFormat="0" applyBorder="0" applyAlignment="0" applyProtection="0"/>
    <xf numFmtId="0" fontId="13" fillId="0" borderId="0" applyNumberFormat="0" applyFill="0" applyBorder="0" applyAlignment="0" applyProtection="0"/>
    <xf numFmtId="0" fontId="14" fillId="19" borderId="17" applyNumberFormat="0" applyAlignment="0" applyProtection="0"/>
    <xf numFmtId="0" fontId="15" fillId="20" borderId="18" applyNumberFormat="0" applyAlignment="0" applyProtection="0"/>
    <xf numFmtId="0" fontId="16" fillId="20" borderId="17" applyNumberFormat="0" applyAlignment="0" applyProtection="0"/>
    <xf numFmtId="0" fontId="17" fillId="0" borderId="0" applyNumberFormat="0" applyFill="0" applyBorder="0" applyAlignment="0" applyProtection="0"/>
  </cellStyleXfs>
  <cellXfs count="268">
    <xf numFmtId="0" fontId="0" fillId="0" borderId="0" xfId="0"/>
    <xf numFmtId="0" fontId="0" fillId="3" borderId="0" xfId="0" applyFill="1"/>
    <xf numFmtId="0" fontId="2" fillId="5" borderId="0" xfId="0" applyFont="1" applyFill="1"/>
    <xf numFmtId="0" fontId="0" fillId="0" borderId="0" xfId="0" applyAlignment="1">
      <alignment vertical="top"/>
    </xf>
    <xf numFmtId="0" fontId="3" fillId="0" borderId="0" xfId="0" applyFont="1"/>
    <xf numFmtId="0" fontId="3" fillId="0" borderId="0" xfId="0" applyFont="1" applyAlignment="1">
      <alignment wrapText="1"/>
    </xf>
    <xf numFmtId="0" fontId="6" fillId="0" borderId="1" xfId="0" applyFont="1" applyBorder="1" applyAlignment="1">
      <alignment vertical="center" wrapText="1"/>
    </xf>
    <xf numFmtId="0" fontId="6" fillId="0" borderId="3" xfId="0" applyFont="1" applyBorder="1" applyAlignment="1">
      <alignment vertical="center" wrapText="1"/>
    </xf>
    <xf numFmtId="0" fontId="4" fillId="0" borderId="0" xfId="0" applyFont="1"/>
    <xf numFmtId="0" fontId="6" fillId="0" borderId="4" xfId="0" applyFont="1" applyBorder="1" applyAlignment="1">
      <alignment vertical="center" wrapText="1"/>
    </xf>
    <xf numFmtId="0" fontId="6" fillId="0" borderId="0" xfId="0" applyFont="1" applyAlignment="1">
      <alignment vertical="center" wrapText="1"/>
    </xf>
    <xf numFmtId="0" fontId="5" fillId="0" borderId="0" xfId="0" applyFont="1"/>
    <xf numFmtId="0" fontId="3" fillId="9" borderId="0" xfId="0" applyFont="1" applyFill="1"/>
    <xf numFmtId="0" fontId="5" fillId="0" borderId="1" xfId="0" applyFont="1" applyBorder="1" applyAlignment="1">
      <alignment horizontal="left" vertical="top"/>
    </xf>
    <xf numFmtId="0" fontId="3" fillId="8" borderId="1" xfId="0" applyFont="1" applyFill="1" applyBorder="1"/>
    <xf numFmtId="0" fontId="3" fillId="0" borderId="1" xfId="0" applyFont="1" applyBorder="1"/>
    <xf numFmtId="0" fontId="3" fillId="0" borderId="6" xfId="0" applyFont="1" applyBorder="1"/>
    <xf numFmtId="0" fontId="3" fillId="0" borderId="10" xfId="0" applyFont="1" applyBorder="1"/>
    <xf numFmtId="0" fontId="3" fillId="0" borderId="7" xfId="0" applyFont="1" applyBorder="1"/>
    <xf numFmtId="0" fontId="3" fillId="0" borderId="6" xfId="0" applyFont="1" applyBorder="1" applyAlignment="1">
      <alignment textRotation="45"/>
    </xf>
    <xf numFmtId="0" fontId="3" fillId="0" borderId="1" xfId="0" applyFont="1" applyBorder="1" applyAlignment="1">
      <alignment textRotation="45"/>
    </xf>
    <xf numFmtId="0" fontId="3" fillId="0" borderId="5" xfId="0" applyFont="1" applyBorder="1" applyAlignment="1">
      <alignment textRotation="45"/>
    </xf>
    <xf numFmtId="0" fontId="3" fillId="0" borderId="3" xfId="0" applyFont="1" applyBorder="1"/>
    <xf numFmtId="0" fontId="4" fillId="5" borderId="9" xfId="0" applyFont="1" applyFill="1" applyBorder="1" applyAlignment="1">
      <alignment horizontal="center" vertical="center"/>
    </xf>
    <xf numFmtId="0" fontId="4" fillId="5" borderId="2" xfId="0" applyFont="1" applyFill="1" applyBorder="1" applyAlignment="1">
      <alignment horizontal="center" vertical="center"/>
    </xf>
    <xf numFmtId="0" fontId="4" fillId="4" borderId="2" xfId="0" applyFont="1" applyFill="1" applyBorder="1" applyAlignment="1">
      <alignment horizontal="center" vertical="center"/>
    </xf>
    <xf numFmtId="0" fontId="4" fillId="5" borderId="8" xfId="0" applyFont="1" applyFill="1" applyBorder="1" applyAlignment="1">
      <alignment horizontal="center" vertical="center"/>
    </xf>
    <xf numFmtId="0" fontId="6" fillId="0" borderId="6" xfId="0" applyFont="1" applyBorder="1" applyAlignment="1">
      <alignment vertical="center" wrapText="1"/>
    </xf>
    <xf numFmtId="0" fontId="3" fillId="12" borderId="0" xfId="0" applyFont="1" applyFill="1"/>
    <xf numFmtId="0" fontId="3" fillId="13" borderId="0" xfId="0" applyFont="1" applyFill="1"/>
    <xf numFmtId="0" fontId="8" fillId="0" borderId="1" xfId="0" applyFont="1" applyBorder="1" applyAlignment="1">
      <alignment vertical="center" wrapText="1"/>
    </xf>
    <xf numFmtId="0" fontId="3" fillId="11" borderId="11" xfId="0" applyFont="1" applyFill="1" applyBorder="1"/>
    <xf numFmtId="0" fontId="6" fillId="0" borderId="10" xfId="0" applyFont="1" applyBorder="1" applyAlignment="1">
      <alignment vertical="center" wrapText="1"/>
    </xf>
    <xf numFmtId="0" fontId="3" fillId="0" borderId="0" xfId="0" applyFont="1" applyAlignment="1">
      <alignment vertical="center" wrapText="1"/>
    </xf>
    <xf numFmtId="0" fontId="4" fillId="14" borderId="12" xfId="0" applyFont="1" applyFill="1" applyBorder="1"/>
    <xf numFmtId="0" fontId="4" fillId="14" borderId="13" xfId="0" applyFont="1" applyFill="1" applyBorder="1"/>
    <xf numFmtId="0" fontId="0" fillId="0" borderId="15" xfId="0" applyBorder="1"/>
    <xf numFmtId="0" fontId="6" fillId="0" borderId="16" xfId="0" applyFont="1" applyBorder="1" applyAlignment="1">
      <alignment vertical="center" wrapText="1"/>
    </xf>
    <xf numFmtId="0" fontId="0" fillId="8" borderId="0" xfId="0" applyFill="1"/>
    <xf numFmtId="0" fontId="14" fillId="19" borderId="17" xfId="6"/>
    <xf numFmtId="0" fontId="15" fillId="20" borderId="18" xfId="7"/>
    <xf numFmtId="0" fontId="16" fillId="20" borderId="17" xfId="8"/>
    <xf numFmtId="0" fontId="16" fillId="20" borderId="19" xfId="8" applyBorder="1"/>
    <xf numFmtId="0" fontId="0" fillId="0" borderId="1" xfId="0" applyBorder="1"/>
    <xf numFmtId="0" fontId="17" fillId="0" borderId="0" xfId="9" applyBorder="1"/>
    <xf numFmtId="0" fontId="17" fillId="0" borderId="0" xfId="9"/>
    <xf numFmtId="0" fontId="5" fillId="0" borderId="0" xfId="0" applyFont="1" applyAlignment="1">
      <alignment wrapText="1"/>
    </xf>
    <xf numFmtId="0" fontId="19" fillId="0" borderId="0" xfId="0" applyFont="1"/>
    <xf numFmtId="0" fontId="19" fillId="0" borderId="0" xfId="0" applyFont="1" applyAlignment="1">
      <alignment vertical="top"/>
    </xf>
    <xf numFmtId="0" fontId="19" fillId="0" borderId="0" xfId="0" applyFont="1" applyAlignment="1">
      <alignment wrapText="1"/>
    </xf>
    <xf numFmtId="0" fontId="20" fillId="2" borderId="1" xfId="0" applyFont="1" applyFill="1" applyBorder="1"/>
    <xf numFmtId="0" fontId="5" fillId="2" borderId="0" xfId="0" applyFont="1" applyFill="1" applyAlignment="1">
      <alignment vertical="center"/>
    </xf>
    <xf numFmtId="0" fontId="5" fillId="9" borderId="0" xfId="0" applyFont="1" applyFill="1" applyAlignment="1">
      <alignment vertical="center"/>
    </xf>
    <xf numFmtId="0" fontId="3" fillId="0" borderId="0" xfId="0" applyFont="1" applyAlignment="1">
      <alignment vertical="center"/>
    </xf>
    <xf numFmtId="0" fontId="5" fillId="2" borderId="3" xfId="0" applyFont="1" applyFill="1" applyBorder="1" applyAlignment="1">
      <alignment vertical="center"/>
    </xf>
    <xf numFmtId="0" fontId="5" fillId="9" borderId="1" xfId="0" applyFont="1" applyFill="1" applyBorder="1" applyAlignment="1">
      <alignment vertical="center"/>
    </xf>
    <xf numFmtId="0" fontId="22" fillId="0" borderId="0" xfId="0" applyFont="1"/>
    <xf numFmtId="0" fontId="3" fillId="14" borderId="0" xfId="0" applyFont="1" applyFill="1"/>
    <xf numFmtId="0" fontId="23" fillId="9" borderId="0" xfId="0" applyFont="1" applyFill="1" applyAlignment="1">
      <alignment horizontal="left" vertical="center" wrapText="1"/>
    </xf>
    <xf numFmtId="0" fontId="23" fillId="0" borderId="0" xfId="0" applyFont="1" applyAlignment="1">
      <alignment horizontal="left"/>
    </xf>
    <xf numFmtId="0" fontId="23" fillId="0" borderId="0" xfId="0" applyFont="1" applyAlignment="1">
      <alignment horizontal="left" vertical="center" wrapText="1"/>
    </xf>
    <xf numFmtId="0" fontId="23" fillId="0" borderId="0" xfId="0" applyFont="1"/>
    <xf numFmtId="0" fontId="24" fillId="2" borderId="0" xfId="0" applyFont="1" applyFill="1"/>
    <xf numFmtId="0" fontId="24" fillId="0" borderId="0" xfId="0" applyFont="1"/>
    <xf numFmtId="0" fontId="24" fillId="0" borderId="1" xfId="0" applyFont="1" applyBorder="1" applyAlignment="1">
      <alignment vertical="center"/>
    </xf>
    <xf numFmtId="0" fontId="24" fillId="0" borderId="1" xfId="0" applyFont="1" applyBorder="1" applyAlignment="1">
      <alignment vertical="center" wrapText="1"/>
    </xf>
    <xf numFmtId="0" fontId="24" fillId="0" borderId="0" xfId="0" applyFont="1" applyAlignment="1">
      <alignment vertical="center"/>
    </xf>
    <xf numFmtId="0" fontId="24" fillId="0" borderId="5" xfId="0" applyFont="1" applyBorder="1" applyAlignment="1">
      <alignment vertical="center"/>
    </xf>
    <xf numFmtId="0" fontId="24" fillId="0" borderId="5" xfId="0" applyFont="1" applyBorder="1" applyAlignment="1">
      <alignment vertical="center" wrapText="1"/>
    </xf>
    <xf numFmtId="0" fontId="23" fillId="0" borderId="0" xfId="0" applyFont="1" applyProtection="1">
      <protection hidden="1"/>
    </xf>
    <xf numFmtId="0" fontId="23" fillId="0" borderId="0" xfId="0" applyFont="1" applyAlignment="1" applyProtection="1">
      <alignment wrapText="1"/>
      <protection hidden="1"/>
    </xf>
    <xf numFmtId="0" fontId="26" fillId="26" borderId="0" xfId="0" applyFont="1" applyFill="1" applyAlignment="1">
      <alignment horizontal="left" vertical="center"/>
    </xf>
    <xf numFmtId="0" fontId="26" fillId="26" borderId="0" xfId="0" applyFont="1" applyFill="1" applyAlignment="1">
      <alignment vertical="center" wrapText="1"/>
    </xf>
    <xf numFmtId="0" fontId="23" fillId="0" borderId="0" xfId="0" applyFont="1" applyAlignment="1" applyProtection="1">
      <alignment vertical="center"/>
      <protection hidden="1"/>
    </xf>
    <xf numFmtId="0" fontId="23" fillId="28" borderId="0" xfId="0" applyFont="1" applyFill="1" applyAlignment="1" applyProtection="1">
      <alignment vertical="center"/>
      <protection locked="0" hidden="1"/>
    </xf>
    <xf numFmtId="0" fontId="23" fillId="0" borderId="0" xfId="0" applyFont="1" applyAlignment="1" applyProtection="1">
      <alignment vertical="center"/>
      <protection locked="0" hidden="1"/>
    </xf>
    <xf numFmtId="0" fontId="28" fillId="25" borderId="49" xfId="0" applyFont="1" applyFill="1" applyBorder="1" applyAlignment="1" applyProtection="1">
      <alignment horizontal="left" vertical="center"/>
      <protection hidden="1"/>
    </xf>
    <xf numFmtId="0" fontId="23" fillId="25" borderId="50" xfId="0" applyFont="1" applyFill="1" applyBorder="1" applyAlignment="1" applyProtection="1">
      <alignment horizontal="left" vertical="center"/>
      <protection hidden="1"/>
    </xf>
    <xf numFmtId="0" fontId="23" fillId="25" borderId="0" xfId="0" applyFont="1" applyFill="1" applyAlignment="1" applyProtection="1">
      <alignment horizontal="left" vertical="center"/>
      <protection hidden="1"/>
    </xf>
    <xf numFmtId="0" fontId="25" fillId="28" borderId="54" xfId="0" applyFont="1" applyFill="1" applyBorder="1" applyAlignment="1">
      <alignment horizontal="center" vertical="center"/>
    </xf>
    <xf numFmtId="0" fontId="4" fillId="14" borderId="55" xfId="0" applyFont="1" applyFill="1" applyBorder="1"/>
    <xf numFmtId="0" fontId="29" fillId="25" borderId="56" xfId="0" applyFont="1" applyFill="1" applyBorder="1" applyAlignment="1">
      <alignment horizontal="center" vertical="center" wrapText="1"/>
    </xf>
    <xf numFmtId="0" fontId="27" fillId="28" borderId="0" xfId="0" applyFont="1" applyFill="1" applyAlignment="1">
      <alignment vertical="center" wrapText="1"/>
    </xf>
    <xf numFmtId="0" fontId="30" fillId="28" borderId="56" xfId="0" applyFont="1" applyFill="1" applyBorder="1" applyAlignment="1">
      <alignment horizontal="left" vertical="center" wrapText="1"/>
    </xf>
    <xf numFmtId="0" fontId="26" fillId="29" borderId="0" xfId="0" applyFont="1" applyFill="1" applyAlignment="1">
      <alignment horizontal="left" vertical="center"/>
    </xf>
    <xf numFmtId="0" fontId="23" fillId="0" borderId="0" xfId="0" applyFont="1" applyAlignment="1" applyProtection="1">
      <alignment horizontal="left" vertical="center"/>
      <protection hidden="1"/>
    </xf>
    <xf numFmtId="0" fontId="23" fillId="0" borderId="0" xfId="0" applyFont="1" applyAlignment="1">
      <alignment horizontal="left" vertical="center"/>
    </xf>
    <xf numFmtId="0" fontId="24" fillId="25" borderId="0" xfId="0" applyFont="1" applyFill="1" applyAlignment="1" applyProtection="1">
      <alignment horizontal="left" vertical="center"/>
      <protection hidden="1"/>
    </xf>
    <xf numFmtId="0" fontId="31" fillId="25" borderId="0" xfId="0" applyFont="1" applyFill="1" applyAlignment="1" applyProtection="1">
      <alignment vertical="center"/>
      <protection hidden="1"/>
    </xf>
    <xf numFmtId="0" fontId="23" fillId="25" borderId="0" xfId="0" applyFont="1" applyFill="1" applyAlignment="1">
      <alignment horizontal="left" vertical="center"/>
    </xf>
    <xf numFmtId="0" fontId="24" fillId="0" borderId="1" xfId="0" applyFont="1" applyBorder="1" applyAlignment="1" applyProtection="1">
      <alignment horizontal="left" vertical="center"/>
      <protection locked="0"/>
    </xf>
    <xf numFmtId="0" fontId="33" fillId="0" borderId="0" xfId="0" applyFont="1" applyAlignment="1" applyProtection="1">
      <alignment horizontal="left" vertical="center"/>
      <protection hidden="1"/>
    </xf>
    <xf numFmtId="0" fontId="27" fillId="10" borderId="0" xfId="0" applyFont="1" applyFill="1" applyAlignment="1" applyProtection="1">
      <alignment horizontal="left" vertical="center"/>
      <protection hidden="1"/>
    </xf>
    <xf numFmtId="0" fontId="27" fillId="10" borderId="0" xfId="0" applyFont="1" applyFill="1" applyAlignment="1">
      <alignment horizontal="left" vertical="center"/>
    </xf>
    <xf numFmtId="0" fontId="23" fillId="10" borderId="0" xfId="0" applyFont="1" applyFill="1" applyAlignment="1" applyProtection="1">
      <alignment horizontal="left" vertical="center"/>
      <protection hidden="1"/>
    </xf>
    <xf numFmtId="0" fontId="27" fillId="10" borderId="42" xfId="0" applyFont="1" applyFill="1" applyBorder="1" applyAlignment="1" applyProtection="1">
      <alignment horizontal="left" vertical="center"/>
      <protection hidden="1"/>
    </xf>
    <xf numFmtId="0" fontId="23" fillId="0" borderId="1" xfId="0" applyFont="1" applyBorder="1" applyAlignment="1" applyProtection="1">
      <alignment horizontal="left" vertical="center" wrapText="1"/>
      <protection locked="0"/>
    </xf>
    <xf numFmtId="0" fontId="23" fillId="0" borderId="3" xfId="0" applyFont="1" applyBorder="1" applyAlignment="1" applyProtection="1">
      <alignment horizontal="left" vertical="center" wrapText="1"/>
      <protection locked="0"/>
    </xf>
    <xf numFmtId="0" fontId="7" fillId="0" borderId="8" xfId="0" applyFont="1" applyBorder="1" applyAlignment="1" applyProtection="1">
      <alignment horizontal="left" vertical="center" wrapText="1"/>
      <protection hidden="1"/>
    </xf>
    <xf numFmtId="0" fontId="23" fillId="0" borderId="0" xfId="0" applyFont="1" applyAlignment="1" applyProtection="1">
      <alignment horizontal="left" vertical="center" wrapText="1"/>
      <protection hidden="1"/>
    </xf>
    <xf numFmtId="0" fontId="23" fillId="0" borderId="0" xfId="0" applyFont="1" applyAlignment="1" applyProtection="1">
      <alignment horizontal="left" vertical="center" wrapText="1"/>
      <protection locked="0"/>
    </xf>
    <xf numFmtId="0" fontId="24" fillId="10" borderId="0" xfId="0" applyFont="1" applyFill="1" applyAlignment="1">
      <alignment horizontal="left" vertical="center"/>
    </xf>
    <xf numFmtId="0" fontId="24" fillId="0" borderId="1" xfId="0" applyFont="1" applyBorder="1" applyAlignment="1" applyProtection="1">
      <alignment horizontal="left" vertical="center"/>
      <protection locked="0" hidden="1"/>
    </xf>
    <xf numFmtId="0" fontId="24" fillId="10" borderId="0" xfId="0" applyFont="1" applyFill="1" applyAlignment="1" applyProtection="1">
      <alignment horizontal="left" vertical="center"/>
      <protection hidden="1"/>
    </xf>
    <xf numFmtId="0" fontId="23" fillId="0" borderId="1" xfId="0" applyFont="1" applyBorder="1" applyAlignment="1" applyProtection="1">
      <alignment horizontal="left" vertical="center"/>
      <protection locked="0"/>
    </xf>
    <xf numFmtId="0" fontId="24" fillId="0" borderId="3" xfId="0" applyFont="1" applyBorder="1" applyAlignment="1" applyProtection="1">
      <alignment horizontal="left" vertical="center"/>
      <protection locked="0"/>
    </xf>
    <xf numFmtId="0" fontId="23" fillId="10" borderId="0" xfId="0" applyFont="1" applyFill="1" applyAlignment="1">
      <alignment horizontal="left" vertical="center"/>
    </xf>
    <xf numFmtId="0" fontId="23" fillId="0" borderId="1" xfId="0" applyFont="1" applyBorder="1" applyAlignment="1" applyProtection="1">
      <alignment horizontal="left" vertical="center"/>
      <protection locked="0" hidden="1"/>
    </xf>
    <xf numFmtId="0" fontId="24" fillId="0" borderId="3" xfId="0" applyFont="1" applyBorder="1" applyAlignment="1" applyProtection="1">
      <alignment horizontal="left" vertical="center" wrapText="1"/>
      <protection locked="0"/>
    </xf>
    <xf numFmtId="0" fontId="23" fillId="0" borderId="3" xfId="0" applyFont="1" applyBorder="1" applyAlignment="1" applyProtection="1">
      <alignment horizontal="left" vertical="center"/>
      <protection locked="0"/>
    </xf>
    <xf numFmtId="0" fontId="25" fillId="10" borderId="0" xfId="0" applyFont="1" applyFill="1" applyAlignment="1" applyProtection="1">
      <alignment horizontal="left" vertical="center"/>
      <protection hidden="1"/>
    </xf>
    <xf numFmtId="0" fontId="33" fillId="10" borderId="0" xfId="0" applyFont="1" applyFill="1" applyAlignment="1" applyProtection="1">
      <alignment horizontal="left" vertical="center"/>
      <protection hidden="1"/>
    </xf>
    <xf numFmtId="0" fontId="33" fillId="10" borderId="0" xfId="0" applyFont="1" applyFill="1" applyAlignment="1">
      <alignment horizontal="left" vertical="center"/>
    </xf>
    <xf numFmtId="0" fontId="23" fillId="0" borderId="3" xfId="0" applyFont="1" applyBorder="1" applyAlignment="1" applyProtection="1">
      <alignment horizontal="left" vertical="center"/>
      <protection locked="0" hidden="1"/>
    </xf>
    <xf numFmtId="0" fontId="35" fillId="10" borderId="14" xfId="0" applyFont="1" applyFill="1" applyBorder="1" applyAlignment="1" applyProtection="1">
      <alignment horizontal="left" vertical="center"/>
      <protection hidden="1"/>
    </xf>
    <xf numFmtId="0" fontId="23" fillId="10" borderId="42" xfId="0" applyFont="1" applyFill="1" applyBorder="1" applyAlignment="1" applyProtection="1">
      <alignment horizontal="left" vertical="center"/>
      <protection locked="0" hidden="1"/>
    </xf>
    <xf numFmtId="0" fontId="35" fillId="0" borderId="14" xfId="0" applyFont="1" applyBorder="1" applyAlignment="1" applyProtection="1">
      <alignment horizontal="left" vertical="center"/>
      <protection hidden="1"/>
    </xf>
    <xf numFmtId="0" fontId="23" fillId="0" borderId="42" xfId="0" applyFont="1" applyBorder="1" applyAlignment="1" applyProtection="1">
      <alignment horizontal="left" vertical="center"/>
      <protection locked="0" hidden="1"/>
    </xf>
    <xf numFmtId="0" fontId="24" fillId="0" borderId="0" xfId="0" applyFont="1" applyAlignment="1">
      <alignment horizontal="left" vertical="center"/>
    </xf>
    <xf numFmtId="0" fontId="24" fillId="0" borderId="0" xfId="0" applyFont="1" applyAlignment="1" applyProtection="1">
      <alignment horizontal="left" vertical="center"/>
      <protection hidden="1"/>
    </xf>
    <xf numFmtId="0" fontId="23" fillId="6" borderId="0" xfId="0" applyFont="1" applyFill="1" applyAlignment="1" applyProtection="1">
      <alignment horizontal="left" vertical="center" wrapText="1"/>
      <protection hidden="1"/>
    </xf>
    <xf numFmtId="0" fontId="7" fillId="0" borderId="0" xfId="0" applyFont="1" applyAlignment="1" applyProtection="1">
      <alignment horizontal="left" vertical="center" wrapText="1"/>
      <protection hidden="1"/>
    </xf>
    <xf numFmtId="0" fontId="36" fillId="0" borderId="0" xfId="0" applyFont="1" applyAlignment="1" applyProtection="1">
      <alignment horizontal="left" vertical="center"/>
      <protection hidden="1"/>
    </xf>
    <xf numFmtId="0" fontId="36" fillId="0" borderId="0" xfId="0" applyFont="1" applyAlignment="1">
      <alignment horizontal="left" vertical="center"/>
    </xf>
    <xf numFmtId="0" fontId="35" fillId="0" borderId="0" xfId="0" applyFont="1" applyAlignment="1" applyProtection="1">
      <alignment horizontal="left" vertical="center"/>
      <protection hidden="1"/>
    </xf>
    <xf numFmtId="0" fontId="37" fillId="0" borderId="0" xfId="5" applyFont="1" applyAlignment="1" applyProtection="1">
      <alignment horizontal="left" vertical="center"/>
      <protection locked="0" hidden="1"/>
    </xf>
    <xf numFmtId="0" fontId="23" fillId="0" borderId="0" xfId="0" applyFont="1" applyAlignment="1" applyProtection="1">
      <alignment horizontal="left" vertical="center"/>
      <protection locked="0" hidden="1"/>
    </xf>
    <xf numFmtId="0" fontId="30" fillId="28" borderId="54" xfId="0" applyFont="1" applyFill="1" applyBorder="1" applyAlignment="1">
      <alignment horizontal="left" vertical="center" wrapText="1"/>
    </xf>
    <xf numFmtId="0" fontId="24" fillId="0" borderId="54" xfId="0" applyFont="1" applyBorder="1" applyAlignment="1">
      <alignment horizontal="left" vertical="center"/>
    </xf>
    <xf numFmtId="0" fontId="24" fillId="0" borderId="54" xfId="0" applyFont="1" applyBorder="1" applyAlignment="1" applyProtection="1">
      <alignment horizontal="left" vertical="center"/>
      <protection locked="0"/>
    </xf>
    <xf numFmtId="0" fontId="27" fillId="28" borderId="48" xfId="0" applyFont="1" applyFill="1" applyBorder="1" applyAlignment="1">
      <alignment vertical="center" wrapText="1"/>
    </xf>
    <xf numFmtId="0" fontId="32" fillId="24" borderId="50" xfId="0" applyFont="1" applyFill="1" applyBorder="1" applyAlignment="1" applyProtection="1">
      <alignment vertical="center"/>
      <protection hidden="1"/>
    </xf>
    <xf numFmtId="0" fontId="24" fillId="24" borderId="49" xfId="0" applyFont="1" applyFill="1" applyBorder="1" applyAlignment="1" applyProtection="1">
      <alignment horizontal="left" vertical="center"/>
      <protection hidden="1"/>
    </xf>
    <xf numFmtId="0" fontId="24" fillId="24" borderId="50" xfId="0" applyFont="1" applyFill="1" applyBorder="1" applyAlignment="1">
      <alignment horizontal="left" vertical="center"/>
    </xf>
    <xf numFmtId="0" fontId="23" fillId="24" borderId="49" xfId="0" applyFont="1" applyFill="1" applyBorder="1" applyAlignment="1" applyProtection="1">
      <alignment horizontal="left" vertical="center"/>
      <protection hidden="1"/>
    </xf>
    <xf numFmtId="0" fontId="23" fillId="24" borderId="50" xfId="0" applyFont="1" applyFill="1" applyBorder="1" applyAlignment="1">
      <alignment horizontal="left" vertical="center"/>
    </xf>
    <xf numFmtId="0" fontId="24" fillId="24" borderId="51" xfId="0" applyFont="1" applyFill="1" applyBorder="1" applyAlignment="1" applyProtection="1">
      <alignment horizontal="left" vertical="center"/>
      <protection hidden="1"/>
    </xf>
    <xf numFmtId="0" fontId="24" fillId="24" borderId="53" xfId="0" applyFont="1" applyFill="1" applyBorder="1" applyAlignment="1">
      <alignment horizontal="left" vertical="center"/>
    </xf>
    <xf numFmtId="0" fontId="31" fillId="24" borderId="50" xfId="0" applyFont="1" applyFill="1" applyBorder="1" applyAlignment="1" applyProtection="1">
      <alignment vertical="center"/>
      <protection hidden="1"/>
    </xf>
    <xf numFmtId="0" fontId="23" fillId="24" borderId="49" xfId="0" applyFont="1" applyFill="1" applyBorder="1" applyAlignment="1">
      <alignment horizontal="left" vertical="center"/>
    </xf>
    <xf numFmtId="0" fontId="23" fillId="24" borderId="50" xfId="0" applyFont="1" applyFill="1" applyBorder="1" applyAlignment="1" applyProtection="1">
      <alignment horizontal="left" vertical="center"/>
      <protection hidden="1"/>
    </xf>
    <xf numFmtId="0" fontId="23" fillId="24" borderId="51" xfId="0" applyFont="1" applyFill="1" applyBorder="1" applyAlignment="1" applyProtection="1">
      <alignment horizontal="left" vertical="center"/>
      <protection hidden="1"/>
    </xf>
    <xf numFmtId="0" fontId="23" fillId="24" borderId="53" xfId="0" applyFont="1" applyFill="1" applyBorder="1" applyAlignment="1" applyProtection="1">
      <alignment horizontal="left" vertical="center"/>
      <protection hidden="1"/>
    </xf>
    <xf numFmtId="0" fontId="24" fillId="21" borderId="54" xfId="1" applyFont="1" applyFill="1" applyBorder="1" applyAlignment="1" applyProtection="1">
      <alignment horizontal="center" vertical="center"/>
      <protection hidden="1"/>
    </xf>
    <xf numFmtId="0" fontId="24" fillId="21" borderId="54" xfId="1" applyFont="1" applyFill="1" applyBorder="1" applyAlignment="1" applyProtection="1">
      <alignment horizontal="left" vertical="center"/>
      <protection hidden="1"/>
    </xf>
    <xf numFmtId="0" fontId="24" fillId="23" borderId="54" xfId="2" applyFont="1" applyFill="1" applyBorder="1" applyAlignment="1" applyProtection="1">
      <alignment horizontal="center" vertical="center"/>
      <protection hidden="1"/>
    </xf>
    <xf numFmtId="0" fontId="24" fillId="23" borderId="54" xfId="2" applyFont="1" applyFill="1" applyBorder="1" applyAlignment="1" applyProtection="1">
      <alignment horizontal="left" vertical="center"/>
      <protection hidden="1"/>
    </xf>
    <xf numFmtId="0" fontId="24" fillId="22" borderId="54" xfId="3" applyFont="1" applyFill="1" applyBorder="1" applyAlignment="1" applyProtection="1">
      <alignment horizontal="center" vertical="center"/>
      <protection hidden="1"/>
    </xf>
    <xf numFmtId="0" fontId="24" fillId="22" borderId="54" xfId="3" applyFont="1" applyFill="1" applyBorder="1" applyAlignment="1" applyProtection="1">
      <alignment horizontal="left" vertical="center"/>
      <protection hidden="1"/>
    </xf>
    <xf numFmtId="0" fontId="24" fillId="26" borderId="54" xfId="4" applyFont="1" applyFill="1" applyBorder="1" applyAlignment="1" applyProtection="1">
      <alignment horizontal="center" vertical="center"/>
      <protection hidden="1"/>
    </xf>
    <xf numFmtId="0" fontId="23" fillId="26" borderId="54" xfId="0" applyFont="1" applyFill="1" applyBorder="1" applyAlignment="1" applyProtection="1">
      <alignment horizontal="left" vertical="center"/>
      <protection hidden="1"/>
    </xf>
    <xf numFmtId="0" fontId="24" fillId="0" borderId="54" xfId="0" applyFont="1" applyBorder="1" applyAlignment="1" applyProtection="1">
      <alignment horizontal="left" vertical="center"/>
      <protection locked="0" hidden="1"/>
    </xf>
    <xf numFmtId="0" fontId="23" fillId="7" borderId="0" xfId="0" applyFont="1" applyFill="1"/>
    <xf numFmtId="0" fontId="39" fillId="28" borderId="34" xfId="0" applyFont="1" applyFill="1" applyBorder="1" applyAlignment="1">
      <alignment vertical="center" wrapText="1"/>
    </xf>
    <xf numFmtId="0" fontId="39" fillId="28" borderId="35" xfId="0" applyFont="1" applyFill="1" applyBorder="1" applyAlignment="1">
      <alignment vertical="center" wrapText="1"/>
    </xf>
    <xf numFmtId="0" fontId="23" fillId="7" borderId="0" xfId="0" applyFont="1" applyFill="1" applyAlignment="1">
      <alignment horizontal="right"/>
    </xf>
    <xf numFmtId="3" fontId="40" fillId="25" borderId="27" xfId="0" applyNumberFormat="1" applyFont="1" applyFill="1" applyBorder="1" applyAlignment="1" applyProtection="1">
      <alignment horizontal="center" vertical="center"/>
      <protection locked="0"/>
    </xf>
    <xf numFmtId="0" fontId="23" fillId="7" borderId="0" xfId="0" applyFont="1" applyFill="1" applyAlignment="1">
      <alignment horizontal="left" vertical="center"/>
    </xf>
    <xf numFmtId="0" fontId="23" fillId="25" borderId="24" xfId="0" applyFont="1" applyFill="1" applyBorder="1" applyAlignment="1">
      <alignment horizontal="left" vertical="center"/>
    </xf>
    <xf numFmtId="0" fontId="23" fillId="25" borderId="25" xfId="0" applyFont="1" applyFill="1" applyBorder="1"/>
    <xf numFmtId="0" fontId="41" fillId="7" borderId="0" xfId="0" applyFont="1" applyFill="1" applyAlignment="1">
      <alignment horizontal="center" vertical="center"/>
    </xf>
    <xf numFmtId="0" fontId="23" fillId="25" borderId="30" xfId="0" applyFont="1" applyFill="1" applyBorder="1"/>
    <xf numFmtId="0" fontId="23" fillId="25" borderId="31" xfId="0" applyFont="1" applyFill="1" applyBorder="1"/>
    <xf numFmtId="0" fontId="39" fillId="28" borderId="36" xfId="0" applyFont="1" applyFill="1" applyBorder="1" applyAlignment="1">
      <alignment horizontal="center" vertical="center" wrapText="1"/>
    </xf>
    <xf numFmtId="0" fontId="23" fillId="7" borderId="0" xfId="0" applyFont="1" applyFill="1" applyAlignment="1">
      <alignment vertical="center" wrapText="1"/>
    </xf>
    <xf numFmtId="0" fontId="23" fillId="7" borderId="0" xfId="0" applyFont="1" applyFill="1" applyAlignment="1">
      <alignment vertical="center"/>
    </xf>
    <xf numFmtId="0" fontId="23" fillId="7" borderId="0" xfId="0" applyFont="1" applyFill="1" applyAlignment="1">
      <alignment horizontal="center" vertical="center"/>
    </xf>
    <xf numFmtId="0" fontId="31" fillId="25" borderId="26" xfId="0" applyFont="1" applyFill="1" applyBorder="1" applyAlignment="1">
      <alignment horizontal="center" vertical="center"/>
    </xf>
    <xf numFmtId="0" fontId="31" fillId="25" borderId="27" xfId="0" applyFont="1" applyFill="1" applyBorder="1" applyAlignment="1">
      <alignment horizontal="center" vertical="center"/>
    </xf>
    <xf numFmtId="0" fontId="13" fillId="0" borderId="0" xfId="5" applyAlignment="1" applyProtection="1">
      <alignment horizontal="left" vertical="center"/>
      <protection locked="0" hidden="1"/>
    </xf>
    <xf numFmtId="0" fontId="27" fillId="28" borderId="46" xfId="0" applyFont="1" applyFill="1" applyBorder="1" applyAlignment="1">
      <alignment horizontal="left" vertical="center" wrapText="1"/>
    </xf>
    <xf numFmtId="0" fontId="31" fillId="24" borderId="49" xfId="0" applyFont="1" applyFill="1" applyBorder="1" applyAlignment="1" applyProtection="1">
      <alignment horizontal="left" vertical="center"/>
      <protection hidden="1"/>
    </xf>
    <xf numFmtId="0" fontId="27" fillId="28" borderId="0" xfId="0" applyFont="1" applyFill="1" applyAlignment="1">
      <alignment horizontal="left" vertical="center" wrapText="1"/>
    </xf>
    <xf numFmtId="0" fontId="29" fillId="25" borderId="56" xfId="0" applyFont="1" applyFill="1" applyBorder="1" applyAlignment="1">
      <alignment horizontal="left" vertical="center" wrapText="1"/>
    </xf>
    <xf numFmtId="0" fontId="32" fillId="24" borderId="49" xfId="0" applyFont="1" applyFill="1" applyBorder="1" applyAlignment="1" applyProtection="1">
      <alignment horizontal="left" vertical="center"/>
      <protection hidden="1"/>
    </xf>
    <xf numFmtId="0" fontId="3" fillId="11" borderId="55" xfId="0" applyFont="1" applyFill="1" applyBorder="1"/>
    <xf numFmtId="0" fontId="3" fillId="11" borderId="57" xfId="0" applyFont="1" applyFill="1" applyBorder="1" applyAlignment="1">
      <alignment wrapText="1"/>
    </xf>
    <xf numFmtId="0" fontId="3" fillId="11" borderId="57" xfId="0" applyFont="1" applyFill="1" applyBorder="1"/>
    <xf numFmtId="0" fontId="3" fillId="11" borderId="58" xfId="0" applyFont="1" applyFill="1" applyBorder="1"/>
    <xf numFmtId="0" fontId="3" fillId="0" borderId="55" xfId="0" applyFont="1" applyBorder="1" applyAlignment="1">
      <alignment wrapText="1"/>
    </xf>
    <xf numFmtId="0" fontId="3" fillId="0" borderId="57" xfId="0" applyFont="1" applyBorder="1" applyAlignment="1">
      <alignment wrapText="1"/>
    </xf>
    <xf numFmtId="0" fontId="3" fillId="0" borderId="57" xfId="0" applyFont="1" applyBorder="1"/>
    <xf numFmtId="0" fontId="3" fillId="0" borderId="58" xfId="0" applyFont="1" applyBorder="1"/>
    <xf numFmtId="0" fontId="3" fillId="11" borderId="55" xfId="0" applyFont="1" applyFill="1" applyBorder="1" applyAlignment="1">
      <alignment wrapText="1"/>
    </xf>
    <xf numFmtId="0" fontId="29" fillId="25" borderId="56" xfId="0" applyFont="1" applyFill="1" applyBorder="1" applyAlignment="1" applyProtection="1">
      <alignment horizontal="left" vertical="center" wrapText="1"/>
      <protection hidden="1"/>
    </xf>
    <xf numFmtId="0" fontId="13" fillId="0" borderId="0" xfId="5" applyFill="1"/>
    <xf numFmtId="0" fontId="0" fillId="0" borderId="1" xfId="0" applyBorder="1" applyAlignment="1">
      <alignment wrapText="1"/>
    </xf>
    <xf numFmtId="0" fontId="42" fillId="0" borderId="1" xfId="0" applyFont="1" applyBorder="1" applyAlignment="1">
      <alignment vertical="center" wrapText="1"/>
    </xf>
    <xf numFmtId="0" fontId="42" fillId="0" borderId="1" xfId="0" applyFont="1" applyBorder="1" applyAlignment="1">
      <alignment horizontal="center" vertical="center" wrapText="1"/>
    </xf>
    <xf numFmtId="0" fontId="0" fillId="0" borderId="1" xfId="0" applyBorder="1" applyAlignment="1">
      <alignment vertical="center" wrapText="1"/>
    </xf>
    <xf numFmtId="0" fontId="42" fillId="0" borderId="10" xfId="0" applyFont="1" applyBorder="1" applyAlignment="1">
      <alignment vertical="center" wrapText="1"/>
    </xf>
    <xf numFmtId="0" fontId="22" fillId="0" borderId="0" xfId="0" applyFont="1" applyAlignment="1">
      <alignment horizontal="left" vertical="center" wrapText="1"/>
    </xf>
    <xf numFmtId="0" fontId="0" fillId="0" borderId="0" xfId="0" applyAlignment="1">
      <alignment wrapText="1"/>
    </xf>
    <xf numFmtId="0" fontId="24" fillId="0" borderId="1" xfId="0" applyFont="1" applyBorder="1" applyAlignment="1">
      <alignment wrapText="1"/>
    </xf>
    <xf numFmtId="0" fontId="42" fillId="0" borderId="1" xfId="0" applyFont="1" applyBorder="1" applyAlignment="1">
      <alignment horizontal="justify" vertical="center" wrapText="1"/>
    </xf>
    <xf numFmtId="0" fontId="24" fillId="9" borderId="1" xfId="0" applyFont="1" applyFill="1" applyBorder="1"/>
    <xf numFmtId="0" fontId="4" fillId="5" borderId="59" xfId="0" applyFont="1" applyFill="1" applyBorder="1"/>
    <xf numFmtId="0" fontId="0" fillId="0" borderId="1" xfId="0" applyBorder="1" applyAlignment="1">
      <alignment horizontal="center" vertical="center" wrapText="1"/>
    </xf>
    <xf numFmtId="0" fontId="0" fillId="0" borderId="1" xfId="0" applyBorder="1" applyAlignment="1">
      <alignment horizontal="left" vertical="top" wrapText="1"/>
    </xf>
    <xf numFmtId="0" fontId="3" fillId="0" borderId="55" xfId="0" applyFont="1" applyBorder="1"/>
    <xf numFmtId="0" fontId="29" fillId="25" borderId="56" xfId="0" applyFont="1" applyFill="1" applyBorder="1" applyAlignment="1" applyProtection="1">
      <alignment horizontal="center" vertical="center" wrapText="1"/>
      <protection hidden="1"/>
    </xf>
    <xf numFmtId="0" fontId="42" fillId="0" borderId="1" xfId="0" applyFont="1" applyBorder="1" applyAlignment="1">
      <alignment horizontal="left" vertical="center" wrapText="1"/>
    </xf>
    <xf numFmtId="0" fontId="0" fillId="0" borderId="0" xfId="0" applyAlignment="1">
      <alignment horizontal="right"/>
    </xf>
    <xf numFmtId="164" fontId="23" fillId="25" borderId="60" xfId="0" applyNumberFormat="1" applyFont="1" applyFill="1" applyBorder="1" applyAlignment="1">
      <alignment horizontal="center" vertical="center"/>
    </xf>
    <xf numFmtId="0" fontId="23" fillId="25" borderId="60" xfId="0" applyFont="1" applyFill="1" applyBorder="1" applyAlignment="1">
      <alignment horizontal="left" vertical="center" wrapText="1"/>
    </xf>
    <xf numFmtId="14" fontId="23" fillId="25" borderId="60" xfId="0" applyNumberFormat="1" applyFont="1" applyFill="1" applyBorder="1" applyAlignment="1">
      <alignment horizontal="center" vertical="center"/>
    </xf>
    <xf numFmtId="164" fontId="23" fillId="6" borderId="0" xfId="0" applyNumberFormat="1" applyFont="1" applyFill="1" applyAlignment="1">
      <alignment horizontal="center" vertical="center"/>
    </xf>
    <xf numFmtId="0" fontId="23" fillId="6" borderId="0" xfId="0" applyFont="1" applyFill="1" applyAlignment="1">
      <alignment horizontal="left" vertical="center" wrapText="1"/>
    </xf>
    <xf numFmtId="14" fontId="23" fillId="6" borderId="0" xfId="0" applyNumberFormat="1" applyFont="1" applyFill="1" applyAlignment="1">
      <alignment horizontal="center" vertical="center"/>
    </xf>
    <xf numFmtId="164" fontId="23" fillId="25" borderId="1" xfId="0" applyNumberFormat="1" applyFont="1" applyFill="1" applyBorder="1" applyAlignment="1">
      <alignment horizontal="center" vertical="center"/>
    </xf>
    <xf numFmtId="0" fontId="23" fillId="25" borderId="1" xfId="0" applyFont="1" applyFill="1" applyBorder="1" applyAlignment="1">
      <alignment horizontal="left" vertical="center" wrapText="1"/>
    </xf>
    <xf numFmtId="14" fontId="23" fillId="25" borderId="1" xfId="0" applyNumberFormat="1" applyFont="1" applyFill="1" applyBorder="1" applyAlignment="1">
      <alignment horizontal="center" vertical="center"/>
    </xf>
    <xf numFmtId="0" fontId="13" fillId="0" borderId="0" xfId="5"/>
    <xf numFmtId="0" fontId="31" fillId="25" borderId="37" xfId="0" applyFont="1" applyFill="1" applyBorder="1" applyAlignment="1" applyProtection="1">
      <alignment horizontal="center" vertical="center"/>
      <protection locked="0"/>
    </xf>
    <xf numFmtId="0" fontId="7" fillId="30" borderId="1" xfId="0" applyFont="1" applyFill="1" applyBorder="1" applyAlignment="1" applyProtection="1">
      <alignment horizontal="left" vertical="center" wrapText="1"/>
      <protection locked="0"/>
    </xf>
    <xf numFmtId="0" fontId="34" fillId="10" borderId="0" xfId="0" applyFont="1" applyFill="1" applyAlignment="1">
      <alignment horizontal="left" vertical="top" wrapText="1"/>
    </xf>
    <xf numFmtId="0" fontId="27" fillId="28" borderId="0" xfId="0" applyFont="1" applyFill="1" applyAlignment="1">
      <alignment horizontal="left" vertical="center"/>
    </xf>
    <xf numFmtId="0" fontId="31" fillId="25" borderId="0" xfId="0" applyFont="1" applyFill="1" applyAlignment="1" applyProtection="1">
      <alignment horizontal="left" vertical="center"/>
      <protection hidden="1"/>
    </xf>
    <xf numFmtId="0" fontId="23" fillId="25" borderId="51" xfId="0" applyFont="1" applyFill="1" applyBorder="1" applyAlignment="1" applyProtection="1">
      <alignment horizontal="center" vertical="center"/>
      <protection locked="0" hidden="1"/>
    </xf>
    <xf numFmtId="0" fontId="23" fillId="25" borderId="52" xfId="0" applyFont="1" applyFill="1" applyBorder="1" applyAlignment="1" applyProtection="1">
      <alignment horizontal="center" vertical="center"/>
      <protection locked="0" hidden="1"/>
    </xf>
    <xf numFmtId="0" fontId="23" fillId="25" borderId="53" xfId="0" applyFont="1" applyFill="1" applyBorder="1" applyAlignment="1" applyProtection="1">
      <alignment horizontal="center" vertical="center"/>
      <protection locked="0" hidden="1"/>
    </xf>
    <xf numFmtId="0" fontId="28" fillId="25" borderId="49" xfId="0" applyFont="1" applyFill="1" applyBorder="1" applyAlignment="1" applyProtection="1">
      <alignment horizontal="left" vertical="center" wrapText="1"/>
      <protection hidden="1"/>
    </xf>
    <xf numFmtId="0" fontId="28" fillId="25" borderId="0" xfId="0" applyFont="1" applyFill="1" applyAlignment="1" applyProtection="1">
      <alignment horizontal="left" vertical="center" wrapText="1"/>
      <protection hidden="1"/>
    </xf>
    <xf numFmtId="0" fontId="28" fillId="25" borderId="50" xfId="0" applyFont="1" applyFill="1" applyBorder="1" applyAlignment="1" applyProtection="1">
      <alignment horizontal="left" vertical="center" wrapText="1"/>
      <protection hidden="1"/>
    </xf>
    <xf numFmtId="0" fontId="23" fillId="25" borderId="49" xfId="0" applyFont="1" applyFill="1" applyBorder="1" applyAlignment="1" applyProtection="1">
      <alignment horizontal="center" vertical="center"/>
      <protection hidden="1"/>
    </xf>
    <xf numFmtId="0" fontId="23" fillId="25" borderId="0" xfId="0" applyFont="1" applyFill="1" applyAlignment="1" applyProtection="1">
      <alignment horizontal="center" vertical="center"/>
      <protection hidden="1"/>
    </xf>
    <xf numFmtId="0" fontId="23" fillId="25" borderId="50" xfId="0" applyFont="1" applyFill="1" applyBorder="1" applyAlignment="1" applyProtection="1">
      <alignment horizontal="center" vertical="center"/>
      <protection hidden="1"/>
    </xf>
    <xf numFmtId="0" fontId="25" fillId="28" borderId="43" xfId="0" applyFont="1" applyFill="1" applyBorder="1" applyAlignment="1" applyProtection="1">
      <alignment horizontal="center" vertical="center"/>
      <protection hidden="1"/>
    </xf>
    <xf numFmtId="0" fontId="25" fillId="28" borderId="44" xfId="0" applyFont="1" applyFill="1" applyBorder="1" applyAlignment="1" applyProtection="1">
      <alignment horizontal="center" vertical="center"/>
      <protection hidden="1"/>
    </xf>
    <xf numFmtId="0" fontId="25" fillId="28" borderId="45" xfId="0" applyFont="1" applyFill="1" applyBorder="1" applyAlignment="1" applyProtection="1">
      <alignment horizontal="center" vertical="center"/>
      <protection hidden="1"/>
    </xf>
    <xf numFmtId="0" fontId="28" fillId="25" borderId="46" xfId="0" applyFont="1" applyFill="1" applyBorder="1" applyAlignment="1" applyProtection="1">
      <alignment horizontal="left" vertical="center"/>
      <protection hidden="1"/>
    </xf>
    <xf numFmtId="0" fontId="28" fillId="25" borderId="47" xfId="0" applyFont="1" applyFill="1" applyBorder="1" applyAlignment="1" applyProtection="1">
      <alignment horizontal="left" vertical="center"/>
      <protection hidden="1"/>
    </xf>
    <xf numFmtId="0" fontId="28" fillId="25" borderId="48" xfId="0" applyFont="1" applyFill="1" applyBorder="1" applyAlignment="1" applyProtection="1">
      <alignment horizontal="left" vertical="center"/>
      <protection hidden="1"/>
    </xf>
    <xf numFmtId="0" fontId="28" fillId="25" borderId="49" xfId="0" applyFont="1" applyFill="1" applyBorder="1" applyAlignment="1" applyProtection="1">
      <alignment horizontal="left" vertical="center"/>
      <protection hidden="1"/>
    </xf>
    <xf numFmtId="0" fontId="28" fillId="25" borderId="0" xfId="0" applyFont="1" applyFill="1" applyAlignment="1" applyProtection="1">
      <alignment horizontal="left" vertical="center"/>
      <protection hidden="1"/>
    </xf>
    <xf numFmtId="0" fontId="28" fillId="25" borderId="50" xfId="0" applyFont="1" applyFill="1" applyBorder="1" applyAlignment="1" applyProtection="1">
      <alignment horizontal="left" vertical="center"/>
      <protection hidden="1"/>
    </xf>
    <xf numFmtId="0" fontId="23" fillId="25" borderId="51" xfId="0" applyFont="1" applyFill="1" applyBorder="1" applyAlignment="1" applyProtection="1">
      <alignment horizontal="center" vertical="center"/>
      <protection hidden="1"/>
    </xf>
    <xf numFmtId="0" fontId="23" fillId="25" borderId="52" xfId="0" applyFont="1" applyFill="1" applyBorder="1" applyAlignment="1" applyProtection="1">
      <alignment horizontal="center" vertical="center"/>
      <protection hidden="1"/>
    </xf>
    <xf numFmtId="0" fontId="23" fillId="25" borderId="53" xfId="0" applyFont="1" applyFill="1" applyBorder="1" applyAlignment="1" applyProtection="1">
      <alignment horizontal="center" vertical="center"/>
      <protection hidden="1"/>
    </xf>
    <xf numFmtId="0" fontId="26" fillId="26" borderId="0" xfId="0" applyFont="1" applyFill="1" applyAlignment="1">
      <alignment horizontal="left" vertical="center" wrapText="1"/>
    </xf>
    <xf numFmtId="0" fontId="27" fillId="28" borderId="0" xfId="0" applyFont="1" applyFill="1" applyAlignment="1" applyProtection="1">
      <alignment horizontal="left" vertical="center"/>
      <protection locked="0" hidden="1"/>
    </xf>
    <xf numFmtId="49" fontId="28" fillId="25" borderId="49" xfId="0" applyNumberFormat="1" applyFont="1" applyFill="1" applyBorder="1" applyAlignment="1" applyProtection="1">
      <alignment horizontal="left" vertical="center"/>
      <protection hidden="1"/>
    </xf>
    <xf numFmtId="49" fontId="28" fillId="25" borderId="0" xfId="0" applyNumberFormat="1" applyFont="1" applyFill="1" applyAlignment="1" applyProtection="1">
      <alignment horizontal="left" vertical="center"/>
      <protection hidden="1"/>
    </xf>
    <xf numFmtId="49" fontId="28" fillId="25" borderId="50" xfId="0" applyNumberFormat="1" applyFont="1" applyFill="1" applyBorder="1" applyAlignment="1" applyProtection="1">
      <alignment horizontal="left" vertical="center"/>
      <protection hidden="1"/>
    </xf>
    <xf numFmtId="0" fontId="23" fillId="25" borderId="46" xfId="0" applyFont="1" applyFill="1" applyBorder="1" applyAlignment="1" applyProtection="1">
      <alignment horizontal="left" vertical="center" wrapText="1"/>
      <protection locked="0" hidden="1"/>
    </xf>
    <xf numFmtId="0" fontId="23" fillId="25" borderId="47" xfId="0" applyFont="1" applyFill="1" applyBorder="1" applyAlignment="1" applyProtection="1">
      <alignment horizontal="left" vertical="center" wrapText="1"/>
      <protection locked="0" hidden="1"/>
    </xf>
    <xf numFmtId="0" fontId="23" fillId="25" borderId="48" xfId="0" applyFont="1" applyFill="1" applyBorder="1" applyAlignment="1" applyProtection="1">
      <alignment horizontal="left" vertical="center" wrapText="1"/>
      <protection locked="0" hidden="1"/>
    </xf>
    <xf numFmtId="0" fontId="23" fillId="25" borderId="49" xfId="0" applyFont="1" applyFill="1" applyBorder="1" applyAlignment="1" applyProtection="1">
      <alignment horizontal="left" vertical="center"/>
      <protection locked="0" hidden="1"/>
    </xf>
    <xf numFmtId="0" fontId="23" fillId="25" borderId="0" xfId="0" applyFont="1" applyFill="1" applyAlignment="1" applyProtection="1">
      <alignment horizontal="left" vertical="center"/>
      <protection locked="0" hidden="1"/>
    </xf>
    <xf numFmtId="0" fontId="23" fillId="25" borderId="50" xfId="0" applyFont="1" applyFill="1" applyBorder="1" applyAlignment="1" applyProtection="1">
      <alignment horizontal="left" vertical="center"/>
      <protection locked="0" hidden="1"/>
    </xf>
    <xf numFmtId="0" fontId="23" fillId="25" borderId="49" xfId="0" applyFont="1" applyFill="1" applyBorder="1" applyAlignment="1" applyProtection="1">
      <alignment horizontal="center" vertical="center"/>
      <protection locked="0" hidden="1"/>
    </xf>
    <xf numFmtId="0" fontId="23" fillId="25" borderId="0" xfId="0" applyFont="1" applyFill="1" applyAlignment="1" applyProtection="1">
      <alignment horizontal="center" vertical="center"/>
      <protection locked="0" hidden="1"/>
    </xf>
    <xf numFmtId="0" fontId="23" fillId="25" borderId="50" xfId="0" applyFont="1" applyFill="1" applyBorder="1" applyAlignment="1" applyProtection="1">
      <alignment horizontal="center" vertical="center"/>
      <protection locked="0" hidden="1"/>
    </xf>
    <xf numFmtId="0" fontId="39" fillId="28" borderId="40" xfId="0" applyFont="1" applyFill="1" applyBorder="1" applyAlignment="1">
      <alignment horizontal="left" vertical="center" wrapText="1"/>
    </xf>
    <xf numFmtId="0" fontId="39" fillId="28" borderId="41" xfId="0" applyFont="1" applyFill="1" applyBorder="1" applyAlignment="1">
      <alignment horizontal="left" vertical="center" wrapText="1"/>
    </xf>
    <xf numFmtId="0" fontId="38" fillId="28" borderId="20" xfId="0" applyFont="1" applyFill="1" applyBorder="1" applyAlignment="1">
      <alignment horizontal="center" vertical="center"/>
    </xf>
    <xf numFmtId="0" fontId="38" fillId="28" borderId="21" xfId="0" applyFont="1" applyFill="1" applyBorder="1" applyAlignment="1">
      <alignment horizontal="center" vertical="center"/>
    </xf>
    <xf numFmtId="0" fontId="38" fillId="28" borderId="22" xfId="0" applyFont="1" applyFill="1" applyBorder="1" applyAlignment="1">
      <alignment horizontal="center" vertical="center"/>
    </xf>
    <xf numFmtId="0" fontId="38" fillId="28" borderId="23" xfId="0" applyFont="1" applyFill="1" applyBorder="1" applyAlignment="1">
      <alignment horizontal="center" vertical="center"/>
    </xf>
    <xf numFmtId="0" fontId="40" fillId="25" borderId="28" xfId="0" applyFont="1" applyFill="1" applyBorder="1" applyAlignment="1" applyProtection="1">
      <alignment horizontal="left" vertical="center"/>
      <protection locked="0"/>
    </xf>
    <xf numFmtId="0" fontId="40" fillId="25" borderId="29" xfId="0" applyFont="1" applyFill="1" applyBorder="1" applyAlignment="1" applyProtection="1">
      <alignment horizontal="left" vertical="center"/>
      <protection locked="0"/>
    </xf>
    <xf numFmtId="0" fontId="27" fillId="27" borderId="32" xfId="0" applyFont="1" applyFill="1" applyBorder="1" applyAlignment="1">
      <alignment horizontal="left" vertical="center" wrapText="1"/>
    </xf>
    <xf numFmtId="0" fontId="27" fillId="27" borderId="33" xfId="0" applyFont="1" applyFill="1" applyBorder="1" applyAlignment="1">
      <alignment horizontal="left" vertical="center"/>
    </xf>
    <xf numFmtId="0" fontId="31" fillId="25" borderId="38" xfId="0" applyFont="1" applyFill="1" applyBorder="1" applyAlignment="1">
      <alignment horizontal="left" vertical="center"/>
    </xf>
    <xf numFmtId="0" fontId="31" fillId="25" borderId="39" xfId="0" applyFont="1" applyFill="1" applyBorder="1" applyAlignment="1">
      <alignment horizontal="left" vertical="center"/>
    </xf>
    <xf numFmtId="0" fontId="26" fillId="26" borderId="0" xfId="0" applyFont="1" applyFill="1" applyAlignment="1">
      <alignment horizontal="left" vertical="center"/>
    </xf>
    <xf numFmtId="0" fontId="24" fillId="0" borderId="0" xfId="0" applyFont="1" applyAlignment="1" applyProtection="1">
      <alignment horizontal="left" vertical="top" wrapText="1"/>
      <protection hidden="1"/>
    </xf>
    <xf numFmtId="0" fontId="3" fillId="2" borderId="0" xfId="0" applyFont="1" applyFill="1" applyAlignment="1">
      <alignment horizontal="center"/>
    </xf>
  </cellXfs>
  <cellStyles count="10">
    <cellStyle name="Accent3" xfId="4" builtinId="37"/>
    <cellStyle name="Bad" xfId="2" builtinId="27"/>
    <cellStyle name="Calculation" xfId="8" builtinId="22"/>
    <cellStyle name="Explanatory Text" xfId="9" builtinId="53"/>
    <cellStyle name="Good" xfId="1" builtinId="26"/>
    <cellStyle name="Hyperlink" xfId="5" builtinId="8"/>
    <cellStyle name="Input" xfId="6" builtinId="20"/>
    <cellStyle name="Neutral" xfId="3" builtinId="28"/>
    <cellStyle name="Normal" xfId="0" builtinId="0"/>
    <cellStyle name="Output" xfId="7" builtinId="21"/>
  </cellStyles>
  <dxfs count="515">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font>
        <strike val="0"/>
        <outline val="0"/>
        <shadow val="0"/>
        <u val="none"/>
        <vertAlign val="baseline"/>
        <sz val="11"/>
        <name val="Verdana"/>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dxf>
    <dxf>
      <border outline="0">
        <top style="thin">
          <color theme="4" tint="0.39997558519241921"/>
        </top>
      </border>
    </dxf>
    <dxf>
      <font>
        <strike val="0"/>
        <outline val="0"/>
        <shadow val="0"/>
        <u val="none"/>
        <vertAlign val="baseline"/>
        <sz val="11"/>
        <name val="Intel Clear"/>
        <family val="2"/>
        <scheme val="none"/>
      </font>
    </dxf>
    <dxf>
      <border outline="0">
        <bottom style="thin">
          <color theme="4" tint="0.39997558519241921"/>
        </bottom>
      </border>
    </dxf>
    <dxf>
      <font>
        <b/>
        <i val="0"/>
        <strike val="0"/>
        <condense val="0"/>
        <extend val="0"/>
        <outline val="0"/>
        <shadow val="0"/>
        <u val="none"/>
        <vertAlign val="baseline"/>
        <sz val="11"/>
        <color theme="0"/>
        <name val="Intel Clear"/>
        <family val="2"/>
        <scheme val="none"/>
      </font>
      <fill>
        <patternFill patternType="solid">
          <fgColor theme="4"/>
          <bgColor theme="4"/>
        </patternFill>
      </fill>
    </dxf>
    <dxf>
      <font>
        <strike val="0"/>
        <outline val="0"/>
        <shadow val="0"/>
        <u val="none"/>
        <vertAlign val="baseline"/>
        <sz val="11"/>
        <name val="Intel Clear"/>
        <family val="2"/>
        <scheme val="none"/>
      </font>
      <alignment horizontal="general" vertical="bottom" textRotation="0" wrapText="1" indent="0" justifyLastLine="0" shrinkToFit="0" readingOrder="0"/>
    </dxf>
    <dxf>
      <font>
        <strike val="0"/>
        <outline val="0"/>
        <shadow val="0"/>
        <u val="none"/>
        <vertAlign val="baseline"/>
        <sz val="11"/>
        <name val="Intel Clear"/>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general" vertical="bottom" textRotation="0" wrapText="1" indent="0" justifyLastLine="0" shrinkToFit="0" readingOrder="0"/>
    </dxf>
    <dxf>
      <font>
        <strike val="0"/>
        <outline val="0"/>
        <shadow val="0"/>
        <u val="none"/>
        <vertAlign val="baseline"/>
        <sz val="11"/>
        <name val="Intel Clear"/>
        <family val="2"/>
        <scheme val="none"/>
      </font>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0"/>
        <name val="Intel Clear"/>
        <family val="2"/>
        <scheme val="none"/>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Intel Clear"/>
        <family val="2"/>
        <scheme val="none"/>
      </font>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theme="4" tint="0.39997558519241921"/>
        </bottom>
      </border>
    </dxf>
    <dxf>
      <border outline="0">
        <top style="thin">
          <color theme="1"/>
        </top>
        <bottom style="thin">
          <color indexed="64"/>
        </bottom>
      </border>
    </dxf>
    <dxf>
      <font>
        <strike val="0"/>
        <outline val="0"/>
        <shadow val="0"/>
        <u val="none"/>
        <vertAlign val="baseline"/>
        <sz val="11"/>
        <name val="Intel Clear"/>
        <family val="2"/>
        <scheme val="none"/>
      </font>
      <fill>
        <patternFill patternType="none">
          <bgColor auto="1"/>
        </patternFill>
      </fill>
    </dxf>
    <dxf>
      <font>
        <strike val="0"/>
        <outline val="0"/>
        <shadow val="0"/>
        <u val="none"/>
        <vertAlign val="baseline"/>
        <sz val="11"/>
        <name val="Intel Clear"/>
        <family val="2"/>
        <scheme val="none"/>
      </font>
      <fill>
        <patternFill patternType="none">
          <bgColor auto="1"/>
        </patternFill>
      </fill>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urier"/>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fill>
        <patternFill patternType="none">
          <fgColor indexed="64"/>
          <bgColor auto="1"/>
        </patternFill>
      </fill>
    </dxf>
    <dxf>
      <font>
        <strike val="0"/>
        <outline val="0"/>
        <shadow val="0"/>
        <u val="none"/>
        <vertAlign val="baseline"/>
        <sz val="11"/>
      </font>
      <fill>
        <patternFill patternType="none">
          <fgColor indexed="64"/>
          <bgColor auto="1"/>
        </patternFill>
      </fill>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Intel Clear"/>
        <family val="2"/>
        <scheme val="none"/>
      </font>
    </dxf>
    <dxf>
      <border outline="0">
        <right style="thin">
          <color rgb="FF000000"/>
        </right>
        <top style="thin">
          <color rgb="FF000000"/>
        </top>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dxf>
    <dxf>
      <border outline="0">
        <bottom style="thin">
          <color rgb="FF000000"/>
        </bottom>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border diagonalUp="0" diagonalDown="0" outline="0">
        <left style="thin">
          <color indexed="64"/>
        </left>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dxf>
    <dxf>
      <border>
        <bottom style="thin">
          <color indexed="64"/>
        </bottom>
      </border>
    </dxf>
    <dxf>
      <font>
        <b/>
        <i val="0"/>
        <strike val="0"/>
        <condense val="0"/>
        <extend val="0"/>
        <outline val="0"/>
        <shadow val="0"/>
        <u val="none"/>
        <vertAlign val="baseline"/>
        <sz val="11"/>
        <color theme="0"/>
        <name val="Intel Clear"/>
        <family val="2"/>
        <scheme val="none"/>
      </font>
      <fill>
        <patternFill patternType="solid">
          <fgColor theme="1"/>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39997558519241921"/>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1"/>
        <color rgb="FF0071C5"/>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Intel Clear"/>
        <family val="2"/>
        <scheme val="none"/>
      </font>
      <numFmt numFmtId="0" formatCode="General"/>
    </dxf>
    <dxf>
      <font>
        <b val="0"/>
        <i val="0"/>
        <strike val="0"/>
        <condense val="0"/>
        <extend val="0"/>
        <outline val="0"/>
        <shadow val="0"/>
        <u val="none"/>
        <vertAlign val="baseline"/>
        <sz val="11"/>
        <color theme="1"/>
        <name val="Intel Clear"/>
        <family val="2"/>
        <scheme val="none"/>
      </font>
      <numFmt numFmtId="0" formatCode="General"/>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outline="0">
        <left style="thin">
          <color theme="1"/>
        </left>
        <top style="thin">
          <color theme="1"/>
        </top>
      </border>
    </dxf>
    <dxf>
      <font>
        <b/>
        <i val="0"/>
        <strike val="0"/>
        <condense val="0"/>
        <extend val="0"/>
        <outline val="0"/>
        <shadow val="0"/>
        <u val="none"/>
        <vertAlign val="baseline"/>
        <sz val="11"/>
        <color theme="0"/>
        <name val="Calibri"/>
        <family val="2"/>
        <scheme val="minor"/>
      </font>
      <fill>
        <patternFill patternType="solid">
          <fgColor theme="1"/>
          <bgColor theme="1"/>
        </patternFill>
      </fill>
    </dxf>
    <dxf>
      <fill>
        <patternFill>
          <bgColor rgb="FFFFFF00"/>
        </patternFill>
      </fill>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font>
        <b val="0"/>
        <i val="0"/>
        <strike val="0"/>
        <condense val="0"/>
        <extend val="0"/>
        <outline val="0"/>
        <shadow val="0"/>
        <u val="none"/>
        <vertAlign val="baseline"/>
        <sz val="11"/>
        <color auto="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border outline="0">
        <top style="thin">
          <color theme="8"/>
        </top>
        <bottom style="thin">
          <color indexed="64"/>
        </bottom>
      </border>
    </dxf>
    <dxf>
      <font>
        <b val="0"/>
        <i val="0"/>
        <strike val="0"/>
        <condense val="0"/>
        <extend val="0"/>
        <outline val="0"/>
        <shadow val="0"/>
        <u val="none"/>
        <vertAlign val="baseline"/>
        <sz val="11"/>
        <color theme="1"/>
        <name val="Verdana"/>
        <family val="2"/>
        <scheme val="none"/>
      </font>
      <fill>
        <patternFill patternType="solid">
          <fgColor indexed="64"/>
          <bgColor theme="0" tint="-0.14999847407452621"/>
        </patternFill>
      </fill>
      <alignment horizontal="left" vertical="center" textRotation="0" wrapText="1" indent="0" justifyLastLine="0" shrinkToFit="0" readingOrder="0"/>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outline="0">
        <top style="thin">
          <color indexed="64"/>
        </top>
      </border>
    </dxf>
    <dxf>
      <font>
        <b val="0"/>
        <i val="0"/>
        <strike val="0"/>
        <condense val="0"/>
        <extend val="0"/>
        <outline val="0"/>
        <shadow val="0"/>
        <u val="none"/>
        <vertAlign val="baseline"/>
        <sz val="11"/>
        <color theme="1"/>
        <name val="Verdana"/>
        <family val="2"/>
        <scheme val="none"/>
      </font>
      <fill>
        <patternFill patternType="solid">
          <fgColor indexed="64"/>
          <bgColor theme="0" tint="-0.249977111117893"/>
        </patternFill>
      </fill>
      <alignment horizontal="left" vertical="center" textRotation="0" wrapText="1"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left style="thin">
          <color theme="8"/>
        </left>
        <right style="thin">
          <color theme="8"/>
        </right>
        <top style="thin">
          <color theme="8"/>
        </top>
        <bottom style="thin">
          <color theme="8"/>
        </bottom>
      </border>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1"/>
        </top>
      </border>
    </dxf>
    <dxf>
      <font>
        <strike val="0"/>
        <outline val="0"/>
        <shadow val="0"/>
        <vertAlign val="baseline"/>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1"/>
        </top>
      </border>
    </dxf>
    <dxf>
      <font>
        <strike val="0"/>
        <outline val="0"/>
        <shadow val="0"/>
        <u val="none"/>
        <vertAlign val="baseline"/>
        <sz val="1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locked="1" hidden="1"/>
    </dxf>
    <dxf>
      <border outline="0">
        <top style="thin">
          <color theme="4"/>
        </top>
      </border>
    </dxf>
    <dxf>
      <font>
        <b val="0"/>
        <i val="0"/>
        <strike val="0"/>
        <condense val="0"/>
        <extend val="0"/>
        <outline val="0"/>
        <shadow val="0"/>
        <u val="none"/>
        <vertAlign val="baseline"/>
        <sz val="11"/>
        <color theme="1"/>
        <name val="Verdana"/>
        <family val="2"/>
        <scheme val="none"/>
      </font>
      <alignment horizontal="left" vertical="center" textRotation="0" wrapText="0"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family val="2"/>
        <scheme val="none"/>
      </font>
      <fill>
        <patternFill patternType="solid">
          <fgColor indexed="64"/>
          <bgColor theme="0" tint="-0.249977111117893"/>
        </patternFill>
      </fill>
      <alignment horizontal="left" vertical="center" textRotation="0" wrapText="1"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fgColor indexed="64"/>
          <bgColor theme="0" tint="-0.249977111117893"/>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8"/>
        <color rgb="FF000000"/>
        <name val="Verdana"/>
        <family val="2"/>
        <scheme val="none"/>
      </font>
      <fill>
        <patternFill>
          <fgColor indexed="64"/>
          <bgColor theme="0" tint="-0.249977111117893"/>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8"/>
        </top>
      </border>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fill>
        <patternFill patternType="solid">
          <fgColor indexed="64"/>
          <bgColor theme="0" tint="-0.249977111117893"/>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vertAlign val="baseline"/>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vertAlign val="baseline"/>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ill>
        <patternFill>
          <bgColor rgb="FF92D050"/>
        </patternFill>
      </fill>
    </dxf>
    <dxf>
      <fill>
        <patternFill>
          <bgColor rgb="FFC00000"/>
        </patternFill>
      </fill>
    </dxf>
    <dxf>
      <fill>
        <patternFill>
          <bgColor rgb="FFFFC000"/>
        </patternFill>
      </fill>
    </dxf>
    <dxf>
      <fill>
        <patternFill>
          <bgColor theme="0" tint="-0.34998626667073579"/>
        </patternFill>
      </fill>
    </dxf>
    <dxf>
      <fill>
        <patternFill>
          <bgColor theme="0" tint="-0.34998626667073579"/>
        </patternFill>
      </fill>
    </dxf>
    <dxf>
      <fill>
        <patternFill>
          <bgColor rgb="FFFFC000"/>
        </patternFill>
      </fill>
    </dxf>
    <dxf>
      <fill>
        <patternFill>
          <bgColor rgb="FF92D050"/>
        </patternFill>
      </fill>
    </dxf>
    <dxf>
      <fill>
        <patternFill>
          <bgColor rgb="FFC00000"/>
        </patternFill>
      </fill>
    </dxf>
    <dxf>
      <fill>
        <patternFill>
          <bgColor rgb="FFFFC000"/>
        </patternFill>
      </fill>
    </dxf>
    <dxf>
      <fill>
        <patternFill>
          <bgColor theme="0" tint="-0.34998626667073579"/>
        </patternFill>
      </fill>
    </dxf>
    <dxf>
      <fill>
        <patternFill>
          <bgColor theme="0" tint="-0.34998626667073579"/>
        </patternFill>
      </fill>
    </dxf>
    <dxf>
      <fill>
        <patternFill>
          <bgColor rgb="FFFFC000"/>
        </patternFill>
      </fill>
    </dxf>
    <dxf>
      <font>
        <b/>
        <i val="0"/>
        <color auto="1"/>
      </font>
      <fill>
        <patternFill patternType="solid">
          <bgColor rgb="FF8BAE46"/>
        </patternFill>
      </fill>
    </dxf>
    <dxf>
      <fill>
        <patternFill>
          <bgColor rgb="FFFEC91B"/>
        </patternFill>
      </fill>
    </dxf>
    <dxf>
      <font>
        <color theme="0"/>
      </font>
      <fill>
        <patternFill>
          <bgColor rgb="FFC00000"/>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colors>
    <mruColors>
      <color rgb="FF0054AE"/>
      <color rgb="FFE7EBF3"/>
      <color rgb="FF0070C0"/>
      <color rgb="FF9BBB59"/>
      <color rgb="FF808080"/>
      <color rgb="FF00C7FD"/>
      <color rgb="FF0068B5"/>
      <color rgb="FFFEC91B"/>
      <color rgb="FFC81326"/>
      <color rgb="FF8BAE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ustomXml" Target="../customXml/item4.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8BD21D10-EC42-11CE-9E0D-00AA006002F3}"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5</xdr:col>
      <xdr:colOff>552450</xdr:colOff>
      <xdr:row>6</xdr:row>
      <xdr:rowOff>15876</xdr:rowOff>
    </xdr:from>
    <xdr:to>
      <xdr:col>10</xdr:col>
      <xdr:colOff>549275</xdr:colOff>
      <xdr:row>6</xdr:row>
      <xdr:rowOff>4422380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3762375" y="1787526"/>
          <a:ext cx="3044825" cy="4406504"/>
        </a:xfrm>
        <a:prstGeom prst="rect">
          <a:avLst/>
        </a:prstGeom>
      </xdr:spPr>
    </xdr:pic>
    <xdr:clientData/>
  </xdr:twoCellAnchor>
  <xdr:twoCellAnchor>
    <xdr:from>
      <xdr:col>3</xdr:col>
      <xdr:colOff>330200</xdr:colOff>
      <xdr:row>9</xdr:row>
      <xdr:rowOff>57150</xdr:rowOff>
    </xdr:from>
    <xdr:to>
      <xdr:col>13</xdr:col>
      <xdr:colOff>180022</xdr:colOff>
      <xdr:row>9</xdr:row>
      <xdr:rowOff>961390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2342662" y="6729535"/>
          <a:ext cx="6004437" cy="904240"/>
          <a:chOff x="2476500" y="6705600"/>
          <a:chExt cx="5945822" cy="907415"/>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76500" y="6705600"/>
            <a:ext cx="5941695" cy="236855"/>
          </a:xfrm>
          <a:prstGeom prst="rect">
            <a:avLst/>
          </a:prstGeom>
        </xdr:spPr>
      </xdr:pic>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79432" y="7068820"/>
            <a:ext cx="4732655" cy="224790"/>
          </a:xfrm>
          <a:prstGeom prst="rect">
            <a:avLst/>
          </a:prstGeom>
        </xdr:spPr>
      </xdr:pic>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478722" y="7419975"/>
            <a:ext cx="5943600" cy="193040"/>
          </a:xfrm>
          <a:prstGeom prst="rect">
            <a:avLst/>
          </a:prstGeom>
        </xdr:spPr>
      </xdr:pic>
    </xdr:grpSp>
    <xdr:clientData/>
  </xdr:twoCellAnchor>
  <xdr:twoCellAnchor editAs="oneCell">
    <xdr:from>
      <xdr:col>5</xdr:col>
      <xdr:colOff>88901</xdr:colOff>
      <xdr:row>13</xdr:row>
      <xdr:rowOff>361950</xdr:rowOff>
    </xdr:from>
    <xdr:to>
      <xdr:col>11</xdr:col>
      <xdr:colOff>86842</xdr:colOff>
      <xdr:row>14</xdr:row>
      <xdr:rowOff>4641849</xdr:rowOff>
    </xdr:to>
    <xdr:pic>
      <xdr:nvPicPr>
        <xdr:cNvPr id="5" name="Picture 4">
          <a:extLst>
            <a:ext uri="{FF2B5EF4-FFF2-40B4-BE49-F238E27FC236}">
              <a16:creationId xmlns:a16="http://schemas.microsoft.com/office/drawing/2014/main" id="{E237725D-B7EC-940B-A849-D2B4E910F00C}"/>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308351" y="8801100"/>
          <a:ext cx="3655541" cy="4660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685800</xdr:colOff>
      <xdr:row>22</xdr:row>
      <xdr:rowOff>156662</xdr:rowOff>
    </xdr:from>
    <xdr:to>
      <xdr:col>15</xdr:col>
      <xdr:colOff>316584</xdr:colOff>
      <xdr:row>22</xdr:row>
      <xdr:rowOff>3219449</xdr:rowOff>
    </xdr:to>
    <xdr:pic>
      <xdr:nvPicPr>
        <xdr:cNvPr id="12" name="Picture 11">
          <a:extLst>
            <a:ext uri="{FF2B5EF4-FFF2-40B4-BE49-F238E27FC236}">
              <a16:creationId xmlns:a16="http://schemas.microsoft.com/office/drawing/2014/main" id="{C9242B0F-4467-997E-3FC1-B5EF46D494C7}"/>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85800" y="15403012"/>
          <a:ext cx="8946234" cy="30627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482600</xdr:colOff>
      <xdr:row>28</xdr:row>
      <xdr:rowOff>95988</xdr:rowOff>
    </xdr:from>
    <xdr:to>
      <xdr:col>14</xdr:col>
      <xdr:colOff>266700</xdr:colOff>
      <xdr:row>28</xdr:row>
      <xdr:rowOff>1339849</xdr:rowOff>
    </xdr:to>
    <xdr:pic>
      <xdr:nvPicPr>
        <xdr:cNvPr id="13" name="Picture 12">
          <a:extLst>
            <a:ext uri="{FF2B5EF4-FFF2-40B4-BE49-F238E27FC236}">
              <a16:creationId xmlns:a16="http://schemas.microsoft.com/office/drawing/2014/main" id="{EF6FA5A2-E376-035B-3A8F-DDAE4BA3919D}"/>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263650" y="22581338"/>
          <a:ext cx="7708900" cy="12438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232895</xdr:colOff>
      <xdr:row>26</xdr:row>
      <xdr:rowOff>331701</xdr:rowOff>
    </xdr:from>
    <xdr:to>
      <xdr:col>14</xdr:col>
      <xdr:colOff>560279</xdr:colOff>
      <xdr:row>26</xdr:row>
      <xdr:rowOff>2615726</xdr:rowOff>
    </xdr:to>
    <xdr:pic>
      <xdr:nvPicPr>
        <xdr:cNvPr id="2" name="Picture 1">
          <a:extLst>
            <a:ext uri="{FF2B5EF4-FFF2-40B4-BE49-F238E27FC236}">
              <a16:creationId xmlns:a16="http://schemas.microsoft.com/office/drawing/2014/main" id="{98CADA70-7F2B-1CD9-112D-350DFB5E3101}"/>
            </a:ext>
          </a:extLst>
        </xdr:cNvPr>
        <xdr:cNvPicPr>
          <a:picLocks noChangeAspect="1"/>
        </xdr:cNvPicPr>
      </xdr:nvPicPr>
      <xdr:blipFill>
        <a:blip xmlns:r="http://schemas.openxmlformats.org/officeDocument/2006/relationships" r:embed="rId8"/>
        <a:stretch>
          <a:fillRect/>
        </a:stretch>
      </xdr:blipFill>
      <xdr:spPr>
        <a:xfrm>
          <a:off x="1017307" y="19448936"/>
          <a:ext cx="8193913" cy="2284025"/>
        </a:xfrm>
        <a:prstGeom prst="rect">
          <a:avLst/>
        </a:prstGeom>
      </xdr:spPr>
    </xdr:pic>
    <xdr:clientData/>
  </xdr:twoCellAnchor>
  <xdr:twoCellAnchor editAs="oneCell">
    <xdr:from>
      <xdr:col>0</xdr:col>
      <xdr:colOff>3730</xdr:colOff>
      <xdr:row>0</xdr:row>
      <xdr:rowOff>2585</xdr:rowOff>
    </xdr:from>
    <xdr:to>
      <xdr:col>0</xdr:col>
      <xdr:colOff>754884</xdr:colOff>
      <xdr:row>2</xdr:row>
      <xdr:rowOff>7674</xdr:rowOff>
    </xdr:to>
    <xdr:pic>
      <xdr:nvPicPr>
        <xdr:cNvPr id="3" name="Picture 2">
          <a:extLst>
            <a:ext uri="{FF2B5EF4-FFF2-40B4-BE49-F238E27FC236}">
              <a16:creationId xmlns:a16="http://schemas.microsoft.com/office/drawing/2014/main" id="{2C527790-399E-4851-A67F-DBC1E144B5A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xdr:blipFill>
      <xdr:spPr>
        <a:xfrm>
          <a:off x="3730" y="2585"/>
          <a:ext cx="751154" cy="7436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341220</xdr:colOff>
      <xdr:row>6</xdr:row>
      <xdr:rowOff>200981</xdr:rowOff>
    </xdr:from>
    <xdr:to>
      <xdr:col>10</xdr:col>
      <xdr:colOff>318467</xdr:colOff>
      <xdr:row>7</xdr:row>
      <xdr:rowOff>173245</xdr:rowOff>
    </xdr:to>
    <xdr:sp macro="" textlink="">
      <xdr:nvSpPr>
        <xdr:cNvPr id="2" name="Family Variant" hidden="1">
          <a:extLst>
            <a:ext uri="{FF2B5EF4-FFF2-40B4-BE49-F238E27FC236}">
              <a16:creationId xmlns:a16="http://schemas.microsoft.com/office/drawing/2014/main" id="{00000000-0008-0000-0100-000002000000}"/>
            </a:ext>
          </a:extLst>
        </xdr:cNvPr>
        <xdr:cNvSpPr/>
      </xdr:nvSpPr>
      <xdr:spPr>
        <a:xfrm>
          <a:off x="9904320" y="1905956"/>
          <a:ext cx="558272" cy="229439"/>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400386</xdr:colOff>
      <xdr:row>10</xdr:row>
      <xdr:rowOff>244524</xdr:rowOff>
    </xdr:from>
    <xdr:to>
      <xdr:col>9</xdr:col>
      <xdr:colOff>371614</xdr:colOff>
      <xdr:row>11</xdr:row>
      <xdr:rowOff>232190</xdr:rowOff>
    </xdr:to>
    <xdr:sp macro="" textlink="">
      <xdr:nvSpPr>
        <xdr:cNvPr id="3" name="Family Variant" hidden="1">
          <a:extLst>
            <a:ext uri="{FF2B5EF4-FFF2-40B4-BE49-F238E27FC236}">
              <a16:creationId xmlns:a16="http://schemas.microsoft.com/office/drawing/2014/main" id="{00000000-0008-0000-0100-000003000000}"/>
            </a:ext>
          </a:extLst>
        </xdr:cNvPr>
        <xdr:cNvSpPr/>
      </xdr:nvSpPr>
      <xdr:spPr>
        <a:xfrm>
          <a:off x="8801436" y="2978199"/>
          <a:ext cx="1133278" cy="244841"/>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425017</xdr:colOff>
      <xdr:row>12</xdr:row>
      <xdr:rowOff>192055</xdr:rowOff>
    </xdr:from>
    <xdr:to>
      <xdr:col>13</xdr:col>
      <xdr:colOff>477630</xdr:colOff>
      <xdr:row>13</xdr:row>
      <xdr:rowOff>130036</xdr:rowOff>
    </xdr:to>
    <xdr:sp macro="" textlink="">
      <xdr:nvSpPr>
        <xdr:cNvPr id="4" name="Logic Elements" hidden="1">
          <a:extLst>
            <a:ext uri="{FF2B5EF4-FFF2-40B4-BE49-F238E27FC236}">
              <a16:creationId xmlns:a16="http://schemas.microsoft.com/office/drawing/2014/main" id="{00000000-0008-0000-0100-000004000000}"/>
            </a:ext>
          </a:extLst>
        </xdr:cNvPr>
        <xdr:cNvSpPr/>
      </xdr:nvSpPr>
      <xdr:spPr>
        <a:xfrm>
          <a:off x="11731192" y="3440080"/>
          <a:ext cx="633638" cy="195156"/>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23534</xdr:colOff>
      <xdr:row>5</xdr:row>
      <xdr:rowOff>56226</xdr:rowOff>
    </xdr:from>
    <xdr:to>
      <xdr:col>15</xdr:col>
      <xdr:colOff>439696</xdr:colOff>
      <xdr:row>5</xdr:row>
      <xdr:rowOff>264704</xdr:rowOff>
    </xdr:to>
    <xdr:sp macro="" textlink="">
      <xdr:nvSpPr>
        <xdr:cNvPr id="5" name="Transceiver Tile" hidden="1">
          <a:extLst>
            <a:ext uri="{FF2B5EF4-FFF2-40B4-BE49-F238E27FC236}">
              <a16:creationId xmlns:a16="http://schemas.microsoft.com/office/drawing/2014/main" id="{00000000-0008-0000-0100-000005000000}"/>
            </a:ext>
          </a:extLst>
        </xdr:cNvPr>
        <xdr:cNvSpPr/>
      </xdr:nvSpPr>
      <xdr:spPr>
        <a:xfrm>
          <a:off x="12491759" y="1380201"/>
          <a:ext cx="997187" cy="208478"/>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250289</xdr:colOff>
      <xdr:row>14</xdr:row>
      <xdr:rowOff>47937</xdr:rowOff>
    </xdr:from>
    <xdr:to>
      <xdr:col>15</xdr:col>
      <xdr:colOff>558428</xdr:colOff>
      <xdr:row>15</xdr:row>
      <xdr:rowOff>32214</xdr:rowOff>
    </xdr:to>
    <xdr:sp macro="" textlink="">
      <xdr:nvSpPr>
        <xdr:cNvPr id="6" name="Transceiver Tile" hidden="1">
          <a:extLst>
            <a:ext uri="{FF2B5EF4-FFF2-40B4-BE49-F238E27FC236}">
              <a16:creationId xmlns:a16="http://schemas.microsoft.com/office/drawing/2014/main" id="{00000000-0008-0000-0100-000006000000}"/>
            </a:ext>
          </a:extLst>
        </xdr:cNvPr>
        <xdr:cNvSpPr/>
      </xdr:nvSpPr>
      <xdr:spPr>
        <a:xfrm>
          <a:off x="12718514" y="3810312"/>
          <a:ext cx="889164" cy="241452"/>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336937</xdr:colOff>
      <xdr:row>7</xdr:row>
      <xdr:rowOff>92671</xdr:rowOff>
    </xdr:from>
    <xdr:to>
      <xdr:col>18</xdr:col>
      <xdr:colOff>114299</xdr:colOff>
      <xdr:row>8</xdr:row>
      <xdr:rowOff>85726</xdr:rowOff>
    </xdr:to>
    <xdr:sp macro="" textlink="">
      <xdr:nvSpPr>
        <xdr:cNvPr id="7" name="Temperature Grade" hidden="1">
          <a:extLst>
            <a:ext uri="{FF2B5EF4-FFF2-40B4-BE49-F238E27FC236}">
              <a16:creationId xmlns:a16="http://schemas.microsoft.com/office/drawing/2014/main" id="{00000000-0008-0000-0100-000007000000}"/>
            </a:ext>
          </a:extLst>
        </xdr:cNvPr>
        <xdr:cNvSpPr/>
      </xdr:nvSpPr>
      <xdr:spPr>
        <a:xfrm>
          <a:off x="13386187" y="2054821"/>
          <a:ext cx="1520437" cy="250230"/>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723900</xdr:colOff>
          <xdr:row>5</xdr:row>
          <xdr:rowOff>63500</xdr:rowOff>
        </xdr:from>
        <xdr:to>
          <xdr:col>3</xdr:col>
          <xdr:colOff>3295650</xdr:colOff>
          <xdr:row>5</xdr:row>
          <xdr:rowOff>349250</xdr:rowOff>
        </xdr:to>
        <xdr:sp macro="" textlink="">
          <xdr:nvSpPr>
            <xdr:cNvPr id="3088" name="CommandButton1"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15</xdr:row>
          <xdr:rowOff>25400</xdr:rowOff>
        </xdr:from>
        <xdr:to>
          <xdr:col>3</xdr:col>
          <xdr:colOff>3619500</xdr:colOff>
          <xdr:row>21</xdr:row>
          <xdr:rowOff>165100</xdr:rowOff>
        </xdr:to>
        <xdr:sp macro="" textlink="">
          <xdr:nvSpPr>
            <xdr:cNvPr id="3092" name="tbDSTMsg"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831850</xdr:colOff>
          <xdr:row>32</xdr:row>
          <xdr:rowOff>76200</xdr:rowOff>
        </xdr:from>
        <xdr:to>
          <xdr:col>3</xdr:col>
          <xdr:colOff>3048000</xdr:colOff>
          <xdr:row>32</xdr:row>
          <xdr:rowOff>349250</xdr:rowOff>
        </xdr:to>
        <xdr:sp macro="" textlink="">
          <xdr:nvSpPr>
            <xdr:cNvPr id="3095" name="CommandButton2"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546100</xdr:colOff>
          <xdr:row>32</xdr:row>
          <xdr:rowOff>76200</xdr:rowOff>
        </xdr:from>
        <xdr:to>
          <xdr:col>3</xdr:col>
          <xdr:colOff>120650</xdr:colOff>
          <xdr:row>32</xdr:row>
          <xdr:rowOff>387350</xdr:rowOff>
        </xdr:to>
        <xdr:sp macro="" textlink="">
          <xdr:nvSpPr>
            <xdr:cNvPr id="3096" name="CommandButton3"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editAs="oneCell">
    <xdr:from>
      <xdr:col>6</xdr:col>
      <xdr:colOff>15875</xdr:colOff>
      <xdr:row>4</xdr:row>
      <xdr:rowOff>38100</xdr:rowOff>
    </xdr:from>
    <xdr:to>
      <xdr:col>21</xdr:col>
      <xdr:colOff>478217</xdr:colOff>
      <xdr:row>20</xdr:row>
      <xdr:rowOff>116901</xdr:rowOff>
    </xdr:to>
    <xdr:pic>
      <xdr:nvPicPr>
        <xdr:cNvPr id="10" name="Picture 9">
          <a:extLst>
            <a:ext uri="{FF2B5EF4-FFF2-40B4-BE49-F238E27FC236}">
              <a16:creationId xmlns:a16="http://schemas.microsoft.com/office/drawing/2014/main" id="{67642386-3B79-76C8-08F9-41B497243731}"/>
            </a:ext>
          </a:extLst>
        </xdr:cNvPr>
        <xdr:cNvPicPr>
          <a:picLocks noChangeAspect="1"/>
        </xdr:cNvPicPr>
      </xdr:nvPicPr>
      <xdr:blipFill>
        <a:blip xmlns:r="http://schemas.openxmlformats.org/officeDocument/2006/relationships" r:embed="rId1"/>
        <a:stretch>
          <a:fillRect/>
        </a:stretch>
      </xdr:blipFill>
      <xdr:spPr>
        <a:xfrm>
          <a:off x="8836025" y="1190625"/>
          <a:ext cx="9673017" cy="4593651"/>
        </a:xfrm>
        <a:prstGeom prst="rect">
          <a:avLst/>
        </a:prstGeom>
      </xdr:spPr>
    </xdr:pic>
    <xdr:clientData/>
  </xdr:twoCellAnchor>
  <xdr:twoCellAnchor editAs="oneCell">
    <xdr:from>
      <xdr:col>2</xdr:col>
      <xdr:colOff>20563</xdr:colOff>
      <xdr:row>1</xdr:row>
      <xdr:rowOff>188309</xdr:rowOff>
    </xdr:from>
    <xdr:to>
      <xdr:col>2</xdr:col>
      <xdr:colOff>810215</xdr:colOff>
      <xdr:row>4</xdr:row>
      <xdr:rowOff>1877</xdr:rowOff>
    </xdr:to>
    <xdr:pic>
      <xdr:nvPicPr>
        <xdr:cNvPr id="9" name="Picture 8">
          <a:extLst>
            <a:ext uri="{FF2B5EF4-FFF2-40B4-BE49-F238E27FC236}">
              <a16:creationId xmlns:a16="http://schemas.microsoft.com/office/drawing/2014/main" id="{903FA829-1912-4CC6-B109-02E537D6A8E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221834" y="367603"/>
          <a:ext cx="789652" cy="7817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22</xdr:row>
          <xdr:rowOff>12700</xdr:rowOff>
        </xdr:from>
        <xdr:to>
          <xdr:col>4</xdr:col>
          <xdr:colOff>2616200</xdr:colOff>
          <xdr:row>24</xdr:row>
          <xdr:rowOff>31750</xdr:rowOff>
        </xdr:to>
        <xdr:sp macro="" textlink="">
          <xdr:nvSpPr>
            <xdr:cNvPr id="4103" name="CommandButton1"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2889250</xdr:colOff>
          <xdr:row>22</xdr:row>
          <xdr:rowOff>12700</xdr:rowOff>
        </xdr:from>
        <xdr:to>
          <xdr:col>5</xdr:col>
          <xdr:colOff>1149350</xdr:colOff>
          <xdr:row>24</xdr:row>
          <xdr:rowOff>31750</xdr:rowOff>
        </xdr:to>
        <xdr:sp macro="" textlink="">
          <xdr:nvSpPr>
            <xdr:cNvPr id="4105" name="CommandButton2"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260350</xdr:colOff>
          <xdr:row>24</xdr:row>
          <xdr:rowOff>69850</xdr:rowOff>
        </xdr:from>
        <xdr:to>
          <xdr:col>5</xdr:col>
          <xdr:colOff>1143000</xdr:colOff>
          <xdr:row>26</xdr:row>
          <xdr:rowOff>88900</xdr:rowOff>
        </xdr:to>
        <xdr:sp macro="" textlink="">
          <xdr:nvSpPr>
            <xdr:cNvPr id="4106" name="CommandButton3"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editAs="oneCell">
    <xdr:from>
      <xdr:col>0</xdr:col>
      <xdr:colOff>0</xdr:colOff>
      <xdr:row>0</xdr:row>
      <xdr:rowOff>2135</xdr:rowOff>
    </xdr:from>
    <xdr:to>
      <xdr:col>0</xdr:col>
      <xdr:colOff>755813</xdr:colOff>
      <xdr:row>12</xdr:row>
      <xdr:rowOff>2244</xdr:rowOff>
    </xdr:to>
    <xdr:pic>
      <xdr:nvPicPr>
        <xdr:cNvPr id="3" name="Picture 2">
          <a:extLst>
            <a:ext uri="{FF2B5EF4-FFF2-40B4-BE49-F238E27FC236}">
              <a16:creationId xmlns:a16="http://schemas.microsoft.com/office/drawing/2014/main" id="{7E199EFF-C2ED-4C2E-AE1C-5EFD9F2639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2135"/>
          <a:ext cx="755813" cy="74825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31750</xdr:colOff>
      <xdr:row>0</xdr:row>
      <xdr:rowOff>3117</xdr:rowOff>
    </xdr:from>
    <xdr:to>
      <xdr:col>1</xdr:col>
      <xdr:colOff>9314</xdr:colOff>
      <xdr:row>1</xdr:row>
      <xdr:rowOff>11309</xdr:rowOff>
    </xdr:to>
    <xdr:pic>
      <xdr:nvPicPr>
        <xdr:cNvPr id="4" name="Picture 3">
          <a:extLst>
            <a:ext uri="{FF2B5EF4-FFF2-40B4-BE49-F238E27FC236}">
              <a16:creationId xmlns:a16="http://schemas.microsoft.com/office/drawing/2014/main" id="{ED423EF4-9F82-4DD8-8380-089ED054C5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1750" y="3117"/>
          <a:ext cx="747184" cy="73971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114300</xdr:colOff>
          <xdr:row>16</xdr:row>
          <xdr:rowOff>69850</xdr:rowOff>
        </xdr:from>
        <xdr:to>
          <xdr:col>4</xdr:col>
          <xdr:colOff>2546350</xdr:colOff>
          <xdr:row>18</xdr:row>
          <xdr:rowOff>190500</xdr:rowOff>
        </xdr:to>
        <xdr:sp macro="" textlink="">
          <xdr:nvSpPr>
            <xdr:cNvPr id="22529" name="Button 1" descr="Click to update SDMIO hint." hidden="1">
              <a:extLst>
                <a:ext uri="{63B3BB69-23CF-44E3-9099-C40C66FF867C}">
                  <a14:compatExt spid="_x0000_s22529"/>
                </a:ext>
                <a:ext uri="{FF2B5EF4-FFF2-40B4-BE49-F238E27FC236}">
                  <a16:creationId xmlns:a16="http://schemas.microsoft.com/office/drawing/2014/main" id="{00000000-0008-0000-19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Click to update SDMIO hints!!!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2867146-185E-4DD5-BC70-09E4FE8AA12D}" name="tblCHKSDM" displayName="tblCHKSDM" ref="A81:F110" totalsRowShown="0" headerRowDxfId="496" dataDxfId="494" headerRowBorderDxfId="495">
  <autoFilter ref="A81:F110" xr:uid="{72867146-185E-4DD5-BC70-09E4FE8AA12D}"/>
  <tableColumns count="6">
    <tableColumn id="1" xr3:uid="{6F116BA2-E1E2-4278-800A-8882B17350E0}" name="Pin Name" dataDxfId="493"/>
    <tableColumn id="2" xr3:uid="{CC68AA8D-73D6-4676-926A-0634AFD59448}" name="Pin Connection Guideline" dataDxfId="492">
      <calculatedColumnFormula>VLOOKUP(tblCHKSDM[[#This Row],[Pin Name]],SDM_common,3,FALSE)</calculatedColumnFormula>
    </tableColumn>
    <tableColumn id="4" xr3:uid="{2F4ACE9F-BFE4-4C03-A6D1-8BEEF3713CAB}" name="Implementation (User Input)" dataDxfId="491"/>
    <tableColumn id="5" xr3:uid="{A1001B7A-AE8D-403C-8A8D-D512FCD0B19F}" name="Status (User Input)" dataDxfId="490"/>
    <tableColumn id="3" xr3:uid="{04FE9E54-9C13-4F5C-8CB7-92017FACB2C1}" name="Additional Info" dataDxfId="489">
      <calculatedColumnFormula>VLOOKUP(tblCHKSDM[[#This Row],[Pin Name]],SDM_common,4,FALSE)</calculatedColumnFormula>
    </tableColumn>
    <tableColumn id="6" xr3:uid="{B13C0960-08A7-4D5A-85BA-465FFE0D7903}" name="Signal Name" dataDxfId="488">
      <calculatedColumnFormula>VLOOKUP(tblCHKSDM[[#This Row],[Pin Name]],SDM_common,2,FALSE)</calculatedColumnFormula>
    </tableColumn>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DC927788-AB2B-41AE-A706-9F3FA5B5B32D}" name="tblCHKHPSGPIO" displayName="tblCHKHPSGPIO" ref="A235:E237" totalsRowShown="0" headerRowDxfId="487" dataDxfId="485" headerRowBorderDxfId="486">
  <autoFilter ref="A235:E237" xr:uid="{DC927788-AB2B-41AE-A706-9F3FA5B5B32D}"/>
  <tableColumns count="5">
    <tableColumn id="1" xr3:uid="{C92B5C7E-9167-44C7-85B0-4FA9CD2716BD}" name="Pin Name" dataDxfId="484"/>
    <tableColumn id="2" xr3:uid="{864EF089-9390-485B-9721-B6F8DDD865D2}" name="Pin Connection Guideline" dataDxfId="483">
      <calculatedColumnFormula>IF(var_OPN&lt;&gt;"",IF(varHasHPS="Yes",IF($C$26="Yes",IF($B$213="Yes",IFERROR(VLOOKUP(tblCHKHPSGPIO[[#This Row],[Pin Name]],tblHPS_GPIO,4,FALSE),MSG!$B$10),MSG!$J$30),MSG!$J$12),MSG!$J$11),MSG!$J$10)</calculatedColumnFormula>
    </tableColumn>
    <tableColumn id="3" xr3:uid="{5B0437D8-A7CD-4A56-8486-83478CC8AD7E}" name="Implementation (User Input)" dataDxfId="482"/>
    <tableColumn id="4" xr3:uid="{0DE15B64-993B-43CB-9723-91F1D51E283B}" name="Status (User Input)" dataDxfId="481"/>
    <tableColumn id="5" xr3:uid="{69A42036-82AD-4AB2-8EC3-6BC53C1D6B5F}" name="Additional Info" dataDxfId="480">
      <calculatedColumnFormula>IF(var_OPN&lt;&gt;"",IF(varHasHPS="Yes",IF($C$26="Yes",IF($B$213="Yes",IFERROR(VLOOKUP(tblCHKHPSGPIO[[#This Row],[Pin Name]],tblHPS_GPIO,2,FALSE),MSG!$B$10),MSG!$J$30),MSG!$J$12),MSG!$J$11),MSG!$J$10)</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540CE72-D515-46C9-AF8A-F51DC2EB5278}" name="tblCHKHPSSDMMC" displayName="tblCHKHPSSDMMC" ref="A240:E254" totalsRowShown="0" headerRowDxfId="479" dataDxfId="477" headerRowBorderDxfId="478">
  <autoFilter ref="A240:E254" xr:uid="{5540CE72-D515-46C9-AF8A-F51DC2EB5278}"/>
  <tableColumns count="5">
    <tableColumn id="1" xr3:uid="{9F574322-2FFA-43D9-85B7-8FED002AA08B}" name="Pin Name" dataDxfId="476"/>
    <tableColumn id="2" xr3:uid="{82F0818F-2BE7-4D93-9FE3-557C7565287B}" name="Pin Connection Guideline" dataDxfId="475">
      <calculatedColumnFormula>IF(var_OPN&lt;&gt;"",IF(varHasHPS="Yes",IF($C$26="Yes",IF($B$214="Yes",IFERROR(VLOOKUP(tblCHKHPSSDMMC[[#This Row],[Pin Name]],tblHPS_SDMMC,4,FALSE),MSG!$B$10),MSG!$J$40),MSG!$J$12),MSG!$J$11),MSG!$J$10)</calculatedColumnFormula>
    </tableColumn>
    <tableColumn id="3" xr3:uid="{0007D442-B45C-432A-9C2A-DE9C9EC30873}" name="Implementation (User Input)" dataDxfId="474"/>
    <tableColumn id="4" xr3:uid="{BC89DE17-3011-4A0D-BDA3-EC4B30D1AD14}" name="Status (User Input)" dataDxfId="473"/>
    <tableColumn id="5" xr3:uid="{69316B03-3FD7-4BBE-89B3-31DF4FB59C1A}" name="Additional Info" dataDxfId="472">
      <calculatedColumnFormula>IF(var_OPN&lt;&gt;"",IF(varHasHPS="Yes",IF($C$26="Yes",IF($B$214="Yes",IFERROR(VLOOKUP(tblCHKHPSSDMMC[[#This Row],[Pin Name]],tblHPS_SDMMC,2,FALSE),MSG!$B$10),MSG!$J$40),MSG!$J$12),MSG!$J$11),MSG!$J$10)</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0C2A5EE-5615-411F-A727-2425C72BD06E}" name="tblCHKHPSNAND" displayName="tblCHKHPSNAND" ref="A257:E281" totalsRowShown="0" headerRowDxfId="471" dataDxfId="469" headerRowBorderDxfId="470">
  <autoFilter ref="A257:E281" xr:uid="{D0C2A5EE-5615-411F-A727-2425C72BD06E}"/>
  <tableColumns count="5">
    <tableColumn id="1" xr3:uid="{F8DDA5FE-C6D5-4393-A12C-3F885D75F9F7}" name="Pin Name" dataDxfId="468"/>
    <tableColumn id="2" xr3:uid="{41A42E0B-52AD-48A4-B1B0-2DC13D6C5698}" name="Pin Connection Guideline" dataDxfId="467">
      <calculatedColumnFormula>IF(var_OPN&lt;&gt;"",IF(varHasHPS="Yes",IF($C$26="Yes",IF($B$215="Yes",IFERROR(VLOOKUP(tblCHKHPSNAND[[#This Row],[Pin Name]],tblHPS_NAND,4,FALSE),MSG!$B$10),MSG!$J$50),MSG!$J$12),MSG!$J$11),MSG!$J$10)</calculatedColumnFormula>
    </tableColumn>
    <tableColumn id="3" xr3:uid="{4E9CBF15-FAEE-46AF-A975-1D5113481ED4}" name="Implementation (User Input)" dataDxfId="466"/>
    <tableColumn id="4" xr3:uid="{DD681FE1-7F26-4B6C-B379-86B6614C7DE0}" name="Status (User Input)" dataDxfId="465"/>
    <tableColumn id="5" xr3:uid="{79317FB5-F658-4558-88E0-FEDD00628FBA}" name="Additional Info" dataDxfId="464">
      <calculatedColumnFormula>IF(var_OPN&lt;&gt;"",IF(varHasHPS="Yes",IF($C$26="Yes",IF($B$215="Yes",IFERROR(VLOOKUP(tblCHKHPSNAND[[#This Row],[Pin Name]],tblHPS_NAND,2,FALSE),MSG!$B$10),MSG!$J$50),MSG!$J$12),MSG!$J$11),MSG!$J$10)</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4BCA022-4670-4FAD-B762-E516D05AF07E}" name="tblCHKHPSUSB" displayName="tblCHKHPSUSB" ref="A284:E308" totalsRowShown="0" headerRowDxfId="463" dataDxfId="461" headerRowBorderDxfId="462">
  <autoFilter ref="A284:E308" xr:uid="{A4BCA022-4670-4FAD-B762-E516D05AF07E}"/>
  <tableColumns count="5">
    <tableColumn id="1" xr3:uid="{86F26127-20F8-464D-970A-BC53D0CE6453}" name="Pin Name" dataDxfId="460"/>
    <tableColumn id="2" xr3:uid="{3E82940C-2434-43BB-93B0-993252813095}" name="Pin Connection Guideline" dataDxfId="459">
      <calculatedColumnFormula>IF(var_OPN&lt;&gt;"",IF(varHasHPS="Yes",IF($C$26="Yes",IF($B$216="Yes",IFERROR(VLOOKUP(tblCHKHPSUSB[[#This Row],[Pin Name]],tblHPS_USB,4,FALSE),MSG!$B$10),MSG!$J$60),MSG!$J$12),MSG!$J$11),MSG!$J$10)</calculatedColumnFormula>
    </tableColumn>
    <tableColumn id="3" xr3:uid="{C634C6E8-6CA9-4264-B376-14EA93FDA559}" name="Implementation (User Input)" dataDxfId="458"/>
    <tableColumn id="4" xr3:uid="{DE9778E7-E78D-459F-8963-E507BFD2053A}" name="Status (User Input)" dataDxfId="457"/>
    <tableColumn id="5" xr3:uid="{6A3288F8-0BC0-41C1-A724-5939D791DF9D}" name="Additional Info" dataDxfId="456">
      <calculatedColumnFormula>IF(var_OPN&lt;&gt;"",IF(varHasHPS="Yes",IF($C$26="Yes",IF($B$216="Yes",IFERROR(VLOOKUP(tblCHKHPSUSB[[#This Row],[Pin Name]],tblHPS_USB,2,FALSE),MSG!$B$10),MSG!$J$60),MSG!$J$12),MSG!$J$11),MSG!$J$10)</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C6F8445-3ED2-4AC1-BA51-D32F9FDD5548}" name="tblCHKHPSSPI" displayName="tblCHKHPSSPI" ref="A384:E402" totalsRowShown="0" headerRowDxfId="455" dataDxfId="453" headerRowBorderDxfId="454">
  <autoFilter ref="A384:E402" xr:uid="{3C6F8445-3ED2-4AC1-BA51-D32F9FDD5548}"/>
  <tableColumns count="5">
    <tableColumn id="1" xr3:uid="{132C95FB-4279-498C-A850-09EBCF6AEAB9}" name="Pin Name" dataDxfId="452"/>
    <tableColumn id="2" xr3:uid="{E35380B7-BF3D-479D-BFD1-183864CFD9DB}" name="Pin Connection Guideline" dataDxfId="451">
      <calculatedColumnFormula>IF(var_OPN&lt;&gt;"",IF(varHasHPS="Yes",IF($C$26="Yes",IF($B$220="Yes",IFERROR(VLOOKUP(tblCHKHPSSPI[[#This Row],[Pin Name]],tblHPS_SPI,4,FALSE),MSG!$B$10),MSG!$J$90),MSG!$J$12),MSG!$J$11),MSG!$J$10)</calculatedColumnFormula>
    </tableColumn>
    <tableColumn id="3" xr3:uid="{42510769-B482-4437-A444-E8E53AF55F30}" name="Implementation (User Input)" dataDxfId="450"/>
    <tableColumn id="4" xr3:uid="{555D2166-4B9F-4654-ADCC-4355E33FAB84}" name="Status (User Input)" dataDxfId="449"/>
    <tableColumn id="5" xr3:uid="{43DDB800-7C0C-4BB2-94A4-F87789E653F0}" name="Additional Info" dataDxfId="448">
      <calculatedColumnFormula>IF(var_OPN&lt;&gt;"",IF(varHasHPS="Yes",IF($C$26="Yes",IF($B$220="Yes",IFERROR(VLOOKUP(tblCHKHPSSPI[[#This Row],[Pin Name]],tblHPS_SPI,2,FALSE),MSG!$B$10),MSG!$J$90),MSG!$J$12),MSG!$J$11),MSG!$J$10)</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3AE520D-888F-4BA7-9358-567A64F542F9}" name="tblCHKHPSUART" displayName="tblCHKHPSUART" ref="A405:E413" totalsRowShown="0" headerRowDxfId="447" dataDxfId="445" headerRowBorderDxfId="446">
  <autoFilter ref="A405:E413" xr:uid="{E3AE520D-888F-4BA7-9358-567A64F542F9}"/>
  <tableColumns count="5">
    <tableColumn id="1" xr3:uid="{4CC79ED5-4F28-452A-BD84-63C3D175EFE5}" name="Pin Name" dataDxfId="444"/>
    <tableColumn id="2" xr3:uid="{97E103B2-ADD7-4929-960A-F0374C022089}" name="Pin Connection Guideline" dataDxfId="443">
      <calculatedColumnFormula>IF(var_OPN&lt;&gt;"",IF(varHasHPS="Yes",IF($C$26="Yes",IF($B$221="Yes",IFERROR(VLOOKUP(tblCHKHPSUART[[#This Row],[Pin Name]],tblHPS_UART,4,FALSE),MSG!$B$10),MSG!$L$10),MSG!$J$12),MSG!$J$11),MSG!$J$10)</calculatedColumnFormula>
    </tableColumn>
    <tableColumn id="3" xr3:uid="{43BFEB99-DF1B-4C6E-AAF0-8C12F79D5141}" name="Implementation (User Input)" dataDxfId="442"/>
    <tableColumn id="4" xr3:uid="{4CA560B4-F68A-4CB3-92D5-EE54E1B6266E}" name="Status (User Input)" dataDxfId="441"/>
    <tableColumn id="5" xr3:uid="{20DD10B0-8F79-47D9-8FB7-33E04D845847}" name="Additional Info" dataDxfId="440">
      <calculatedColumnFormula>IF(var_OPN&lt;&gt;"",IF(varHasHPS="Yes",IF($C$26="Yes",IF($B$221="Yes",IFERROR(VLOOKUP(tblCHKHPSUART[[#This Row],[Pin Name]],tblHPS_UART,2,FALSE),MSG!$B$10),MSG!$L$10),MSG!$J$12),MSG!$J$11),MSG!$J$10)</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AD35B83-3212-43AA-B4EF-9E739CBF242F}" name="tblCHKHPSI2C" displayName="tblCHKHPSI2C" ref="A368:E372" totalsRowShown="0" headerRowDxfId="439" dataDxfId="437" headerRowBorderDxfId="438">
  <autoFilter ref="A368:E372" xr:uid="{8AD35B83-3212-43AA-B4EF-9E739CBF242F}"/>
  <tableColumns count="5">
    <tableColumn id="1" xr3:uid="{B41826C8-0E84-4176-8384-1F7676B64C6D}" name="Pin Name" dataDxfId="436"/>
    <tableColumn id="2" xr3:uid="{B464FBDA-F40D-42D3-B9A4-A84FB28B61D1}" name="Pin Connection Guideline" dataDxfId="435">
      <calculatedColumnFormula>IF(var_OPN&lt;&gt;"",IF(varHasHPS="Yes",IF($C$26="Yes",IF($B$218="Yes",IFERROR(VLOOKUP(tblCHKHPSI2C[[#This Row],[Pin Name]],tblHPS_I2C,4,FALSE),MSG!$B$10),MSG!$J$80),MSG!$J$12),MSG!$J$11),MSG!$J$10)</calculatedColumnFormula>
    </tableColumn>
    <tableColumn id="3" xr3:uid="{E92F7CA7-3211-4173-9F07-5F476F1569C3}" name="Implementation (User Input)" dataDxfId="434"/>
    <tableColumn id="4" xr3:uid="{A1EDB5C9-37AE-46E6-8008-476065C3BF66}" name="Status (User Input)" dataDxfId="433"/>
    <tableColumn id="5" xr3:uid="{A1076412-272D-4C45-9613-467D3F349FF6}" name="Additional Info" dataDxfId="432">
      <calculatedColumnFormula>IF(var_OPN&lt;&gt;"",IF(varHasHPS="Yes",IF($C$26="Yes",IF($B$218="Yes",IFERROR(VLOOKUP(tblCHKHPSI2C[[#This Row],[Pin Name]],tblHPS_I2C,2,FALSE),MSG!$B$10),MSG!$J$80),MSG!$J$12),MSG!$J$11),MSG!$J$10)</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40AD9BC3-23D1-4529-A0AD-EF8CF1024426}" name="tblCHKXCVR" displayName="tblCHKXCVR" ref="A157:E171" totalsRowShown="0" headerRowDxfId="431" dataDxfId="429" headerRowBorderDxfId="430">
  <autoFilter ref="A157:E171" xr:uid="{40AD9BC3-23D1-4529-A0AD-EF8CF1024426}"/>
  <tableColumns count="5">
    <tableColumn id="1" xr3:uid="{CA1FA1D5-2428-43FD-A06B-2508AD88CE1B}" name="Pin Name" dataDxfId="428"/>
    <tableColumn id="2" xr3:uid="{BED1B857-6233-488A-ABAE-4DB44E6F95B1}" name="Pin Connection Guideline" dataDxfId="427">
      <calculatedColumnFormula>IF($C$22="Yes",IFERROR(VLOOKUP(tblCHKXCVR[[#This Row],[Pin Name]],tblXCVR[],4,FALSE),MSG!$B$10),MSG!$H$10)</calculatedColumnFormula>
    </tableColumn>
    <tableColumn id="3" xr3:uid="{1D0089B2-1629-4330-A7FE-0EE4FE91F4C8}" name="Implementation (User Input)" dataDxfId="426"/>
    <tableColumn id="4" xr3:uid="{E5F329CC-ED7D-40EE-A3B8-AE94ADEA8D2E}" name="Status (User Input)" dataDxfId="425"/>
    <tableColumn id="5" xr3:uid="{86FF0402-E603-4765-AC19-75F8655DBA81}" name="Additional Info" dataDxfId="424">
      <calculatedColumnFormula>IF($C$22="Yes",IFERROR(VLOOKUP(tblCHKXCVR[[#This Row],[Pin Name]],tblXCVR[],3,FALSE),MSG!$B$10),MSG!$H$10)</calculatedColumnFormula>
    </tableColumn>
  </tableColumns>
  <tableStyleInfo name="TableStyleLight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B4FD06-DC9A-4899-B025-2EA5FE574300}" name="tblCHKHPSEMAC" displayName="tblCHKHPSEMAC" ref="A311:E365" totalsRowShown="0" headerRowDxfId="423" dataDxfId="421" headerRowBorderDxfId="422">
  <autoFilter ref="A311:E365" xr:uid="{65B4FD06-DC9A-4899-B025-2EA5FE574300}"/>
  <tableColumns count="5">
    <tableColumn id="1" xr3:uid="{FB925F4D-B72E-46C3-B63C-FF786C243037}" name="Pin Name" dataDxfId="420"/>
    <tableColumn id="2" xr3:uid="{5439829A-BDE4-4244-A889-3EC77061EF25}" name="Pin Connection Guideline" dataDxfId="419">
      <calculatedColumnFormula>IF(var_OPN&lt;&gt;"",IF(varHasHPS="Yes",IF($C$26="Yes",IF($B$217="Yes",IFERROR(VLOOKUP(tblCHKHPSEMAC[[#This Row],[Pin Name]],tblHPS_EMAC,4,FALSE),MSG!$B$10),MSG!$J$70),MSG!$J$12),MSG!$J$11),MSG!$J$10)</calculatedColumnFormula>
    </tableColumn>
    <tableColumn id="3" xr3:uid="{6F78F3E9-290C-4B9F-A190-765E7B9DED15}" name="Implementation (User Input)" dataDxfId="418"/>
    <tableColumn id="4" xr3:uid="{5EDD1555-E46F-4E74-9AE7-CD8297660FA0}" name="Status (User Input)" dataDxfId="417"/>
    <tableColumn id="5" xr3:uid="{DE07DBB9-6739-40BD-BA9F-6607C902E6D8}" name="Additional Info" dataDxfId="416">
      <calculatedColumnFormula>IF(var_OPN&lt;&gt;"",IF(varHasHPS="Yes",IF($C$26="Yes",IF($B$217="Yes",IFERROR(VLOOKUP(tblCHKHPSEMAC[[#This Row],[Pin Name]],tblHPS_EMAC,2,FALSE),MSG!$B$10),MSG!$J$70),MSG!$J$12),MSG!$J$11),MSG!$J$10)</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D63623E-57DE-43EA-A11D-143E11A01B29}" name="tblCHKHPSTRACE" displayName="tblCHKHPSTRACE" ref="A416:E433" totalsRowShown="0" headerRowDxfId="415" dataDxfId="413" headerRowBorderDxfId="414">
  <autoFilter ref="A416:E433" xr:uid="{7D63623E-57DE-43EA-A11D-143E11A01B29}"/>
  <tableColumns count="5">
    <tableColumn id="1" xr3:uid="{483D3174-A49C-4F55-A334-6583A70B8D73}" name="Pin Name" dataDxfId="412"/>
    <tableColumn id="2" xr3:uid="{49DAB2C5-A74D-4763-8B3F-83BFED007A6E}" name="Pin Connection Guideline" dataDxfId="411">
      <calculatedColumnFormula>IF(var_OPN&lt;&gt;"",IF(varHasHPS="Yes",IF($C$26="Yes",IF($B$222="Yes",IFERROR(VLOOKUP(tblCHKHPSTRACE[[#This Row],[Pin Name]],tblHPS_TRACE,4,FALSE),MSG!$B$10),MSG!$L$20),MSG!$J$12),MSG!$J$11),MSG!$J$10)</calculatedColumnFormula>
    </tableColumn>
    <tableColumn id="3" xr3:uid="{7C9ADE51-BD4D-4E4B-8669-825E3FF1DA2B}" name="Implementation (User Input)" dataDxfId="410"/>
    <tableColumn id="4" xr3:uid="{A3BF3DD3-C49C-4F00-B833-A5954A51FB17}" name="Status (User Input)" dataDxfId="409"/>
    <tableColumn id="5" xr3:uid="{BE192EC9-19E6-4891-8E47-388FE594AE0D}" name="Additional Info" dataDxfId="408">
      <calculatedColumnFormula>IF(var_OPN&lt;&gt;"",IF(varHasHPS="Yes",IF($C$26="Yes",IF($B$222="Yes",IFERROR(VLOOKUP(tblCHKHPSTRACE[[#This Row],[Pin Name]],tblHPS_TRACE,2,FALSE),MSG!$B$10),MSG!$L$20),MSG!$J$12),MSG!$J$11),MSG!$J$10)</calculatedColumnFormula>
    </tableColumn>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1832274C-974D-4F01-8F24-E05BE8F9132A}" name="tblCHKSENSOR" displayName="tblCHKSENSOR" ref="A121:E126" totalsRowShown="0" headerRowDxfId="407" dataDxfId="405" headerRowBorderDxfId="406" tableBorderDxfId="404" totalsRowBorderDxfId="403">
  <autoFilter ref="A121:E126" xr:uid="{1832274C-974D-4F01-8F24-E05BE8F9132A}"/>
  <tableColumns count="5">
    <tableColumn id="1" xr3:uid="{B6B41ED2-AFAC-411B-B39B-37F96016E998}" name="Pin Name" dataDxfId="402"/>
    <tableColumn id="2" xr3:uid="{A1A18F32-BB00-4E05-9A51-090EC441F87D}" name="Pin Connection Guideline" dataDxfId="401">
      <calculatedColumnFormula>IF(OR($C$20="Voltage",$C$20="Both Voltage and Temperature"),IFERROR(VLOOKUP(tblCHKSENSOR[[#This Row],[Pin Name]],tblSENSOR_1,4,FALSE),MSG!$B$10),MSG!$G$10)</calculatedColumnFormula>
    </tableColumn>
    <tableColumn id="3" xr3:uid="{BF6639D7-2FC9-4C0B-B6B6-5FC3DFF0318D}" name="Implementation (User Input)" dataDxfId="400"/>
    <tableColumn id="4" xr3:uid="{806F7A50-093B-4373-BBB1-CE3865629066}" name="Status (User Input)" dataDxfId="399"/>
    <tableColumn id="5" xr3:uid="{E4655E92-5255-4571-BB36-8CC06B9E899D}" name="Additional Info" dataDxfId="398">
      <calculatedColumnFormula>IF(OR($C$20="Voltage",$C$20="Both Voltage and Temperature"),VLOOKUP(tblCHKSENSOR[[#This Row],[Pin Name]],tblSENSOR_1,3,FALSE),"Voltage Sensor is not used.")</calculatedColumnFormula>
    </tableColumn>
  </tableColumns>
  <tableStyleInfo name="TableStyleLight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FC4F9626-F0F0-4CD9-BCB6-FD02364E19C2}" name="tblCHKCLK" displayName="tblCHKCLK" ref="A114:E117" totalsRowShown="0" headerRowDxfId="397" dataDxfId="395" headerRowBorderDxfId="396" tableBorderDxfId="394" totalsRowBorderDxfId="393">
  <autoFilter ref="A114:E117" xr:uid="{FC4F9626-F0F0-4CD9-BCB6-FD02364E19C2}"/>
  <tableColumns count="5">
    <tableColumn id="1" xr3:uid="{DA26D12E-95E6-4A7C-8715-E9724BD7C293}" name="Pin Name" dataDxfId="392"/>
    <tableColumn id="2" xr3:uid="{937493DC-307B-44C8-B109-07467C4F5782}" name="Pin Connection Guideline" dataDxfId="391">
      <calculatedColumnFormula>IFERROR(VLOOKUP(tblCHKCLK[[#This Row],[Pin Name]],tblCLKPLL_1,4,FALSE),MSG!$B$10)</calculatedColumnFormula>
    </tableColumn>
    <tableColumn id="3" xr3:uid="{4296B135-EBCD-4DD2-A969-5C7FFAA74377}" name="Implementation (User Input)" dataDxfId="390"/>
    <tableColumn id="4" xr3:uid="{8E3EBABC-6A70-4A4A-BC58-CB56680AF255}" name="Status (User Input)" dataDxfId="389"/>
    <tableColumn id="5" xr3:uid="{A51505A6-65E5-4E50-B1FB-5071A02EF235}" name="Additional Info" dataDxfId="388">
      <calculatedColumnFormula>IFERROR(VLOOKUP(tblCHKCLK[[#This Row],[Pin Name]],tblCLKPLL_1,3,FALSE),MSG!$B$10)</calculatedColumnFormula>
    </tableColumn>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CDB7B3-3BE3-4728-B9E9-7204FF92C6AC}" name="tblCHKNC" displayName="tblCHKNC" ref="A438:E440" totalsRowShown="0" headerRowDxfId="387" dataDxfId="385" headerRowBorderDxfId="386" tableBorderDxfId="384">
  <autoFilter ref="A438:E440" xr:uid="{ECCDB7B3-3BE3-4728-B9E9-7204FF92C6AC}"/>
  <tableColumns count="5">
    <tableColumn id="1" xr3:uid="{D0EA6F54-480F-4FDE-B1BE-BB769FBD3998}" name="Pin Name" dataDxfId="383"/>
    <tableColumn id="2" xr3:uid="{2D22E6C7-49FA-40A5-A56C-BC6972B0604A}" name="Pin Connection Guideline" dataDxfId="382">
      <calculatedColumnFormula>IFERROR(VLOOKUP(tblCHKNC[[#This Row],[Pin Name]],tblDNUNC[],4,FALSE),MSG!$B$10)</calculatedColumnFormula>
    </tableColumn>
    <tableColumn id="3" xr3:uid="{9CB3FB63-DB35-4450-9074-F048C18EF0C6}" name="Implementation (User Input)" dataDxfId="381"/>
    <tableColumn id="4" xr3:uid="{D206DB0A-A188-4FD3-A6F9-D19760BA2C43}" name="Status (User Input)" dataDxfId="380"/>
    <tableColumn id="5" xr3:uid="{B1762E10-F4C4-4584-ABDD-A7686149F4A6}" name="Additional Info" dataDxfId="379">
      <calculatedColumnFormula>IFERROR(VLOOKUP(tblCHKNC[[#This Row],[Pin Name]],tblDNUNC[],3,FALSE),MSG!$B$10)</calculatedColumnFormula>
    </tableColumn>
  </tableColumns>
  <tableStyleInfo name="TableStyleLight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9B6B644-4C5E-43FE-BD58-548A7F187654}" name="tblCHKPWR" displayName="tblCHKPWR" ref="A34:H57" totalsRowShown="0" headerRowDxfId="378" dataDxfId="376" headerRowBorderDxfId="377" tableBorderDxfId="375" totalsRowBorderDxfId="374">
  <autoFilter ref="A34:H57" xr:uid="{89B6B644-4C5E-43FE-BD58-548A7F187654}"/>
  <tableColumns count="8">
    <tableColumn id="1" xr3:uid="{90D49C6B-A6B1-43DA-BB91-EACBFFDFF081}" name="Pin Name" dataDxfId="373"/>
    <tableColumn id="2" xr3:uid="{09D03F72-D964-4C1B-8CDF-3420A883EF02}" name="Pin Connection Guideline" dataDxfId="372">
      <calculatedColumnFormula>IFERROR(VLOOKUP(tblCHKPWR[[#This Row],[Pin Name]],tblPWR[],4,FALSE),MSG!$B$10)</calculatedColumnFormula>
    </tableColumn>
    <tableColumn id="3" xr3:uid="{95C15AEE-0375-4C31-8C5E-B57FF6367057}" name="Implementation (User Input)" dataDxfId="371"/>
    <tableColumn id="4" xr3:uid="{39185217-7245-4C74-B78D-92C391707B3F}" name="Status (User Input)" dataDxfId="370"/>
    <tableColumn id="5" xr3:uid="{94817055-D9A6-4AA5-95B7-D080684AD029}" name="Additional Info" dataDxfId="369"/>
    <tableColumn id="6" xr3:uid="{7293A5AA-D47A-4D36-BA48-D831ABB9ECC5}" name="Power Group" dataDxfId="368">
      <calculatedColumnFormula>IFERROR(VLOOKUP(tblCHKPWR[[#This Row],[Pin Name]],tblPWR[],5,FALSE),MSG!$B$10)</calculatedColumnFormula>
    </tableColumn>
    <tableColumn id="7" xr3:uid="{0E3EE0E2-58A4-43CF-8EF0-E6D093FBA6C5}" name="Decap" dataDxfId="367"/>
    <tableColumn id="8" xr3:uid="{EEBD3800-1A68-4518-A770-3C7CC839AF60}" name="Decap Additional Info" dataDxfId="366"/>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8AC7BC9-599F-4F88-8306-1B896FFFFF66}" name="tblCHKPWRHPS" displayName="tblCHKPWRHPS" ref="A60:H65" totalsRowShown="0" headerRowDxfId="365" dataDxfId="363" headerRowBorderDxfId="364" tableBorderDxfId="362" totalsRowBorderDxfId="361">
  <autoFilter ref="A60:H65" xr:uid="{98AC7BC9-599F-4F88-8306-1B896FFFFF66}"/>
  <tableColumns count="8">
    <tableColumn id="1" xr3:uid="{76CA8B00-6B44-4DCF-8545-98007FD82047}" name="Pin Name" dataDxfId="360"/>
    <tableColumn id="2" xr3:uid="{1D2B26B4-5A7C-4B4F-9DE5-C70A9A713AAB}" name="Pin Connection Guideline" dataDxfId="359">
      <calculatedColumnFormula>IF(varHasHPS="Yes",IFERROR(VLOOKUP(tblCHKPWRHPS[[#This Row],[Pin Name]],tblPWR[],4,FALSE),MSG!$B$10),MSG!$D$60)</calculatedColumnFormula>
    </tableColumn>
    <tableColumn id="3" xr3:uid="{2903B613-3E9F-4A74-A6BB-EB2FD146DC87}" name="Implementation (User Input)" dataDxfId="358"/>
    <tableColumn id="4" xr3:uid="{E49302D0-C2AF-42C7-B050-74C4C727E521}" name="Status (User Input)" dataDxfId="357"/>
    <tableColumn id="5" xr3:uid="{9F8EC8FD-AA33-4825-B6E0-CFD5DBE309FF}" name="Additional Info" dataDxfId="356">
      <calculatedColumnFormula>IF(varHasHPS="Yes",IFERROR(VLOOKUP(tblCHKPWRHPS[[#This Row],[Pin Name]],tblPWR[],3,FALSE),MSG!$B$10),MSG!$D$60)</calculatedColumnFormula>
    </tableColumn>
    <tableColumn id="6" xr3:uid="{0537A90D-0B6F-43F5-A916-15235D2A750D}" name="Power Group" dataDxfId="355">
      <calculatedColumnFormula>IF(varHasHPS="Yes",IFERROR(VLOOKUP(tblCHKPWRHPS[[#This Row],[Pin Name]],tblPWR[],5,FALSE),MSG!$B$10),MSG!$D$60)</calculatedColumnFormula>
    </tableColumn>
    <tableColumn id="7" xr3:uid="{597D9304-E314-4A99-8E03-ABCF975EFF20}" name="Decap" dataDxfId="354">
      <calculatedColumnFormula>IF(varHasHPS="Yes",IFERROR(VLOOKUP(tblCHKPWRHPS[[#This Row],[Pin Name]],tblPWR_DCP[],2,FALSE),MSG!$D$10),MSG!$D$60)</calculatedColumnFormula>
    </tableColumn>
    <tableColumn id="8" xr3:uid="{4D8725E8-EB4B-42DA-A879-A804990FC65F}" name="Decap Additional Info" dataDxfId="353">
      <calculatedColumnFormula>IF(varHasHPS="Yes",IFERROR(VLOOKUP(tblCHKPWRHPS[[#This Row],[Pin Name]],tblPWR_DCP[],3,FALSE),MSG!$D$10),MSG!$D$60)</calculatedColumnFormula>
    </tableColumn>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A5936-9D24-41C6-B0BA-157718C1A795}" name="tblCHKHPSI3C" displayName="tblCHKHPSI3C" ref="A375:E381" totalsRowShown="0" headerRowDxfId="352" dataDxfId="350" headerRowBorderDxfId="351" tableBorderDxfId="349">
  <autoFilter ref="A375:E381" xr:uid="{6BEA5936-9D24-41C6-B0BA-157718C1A795}"/>
  <tableColumns count="5">
    <tableColumn id="1" xr3:uid="{BBBBC206-D0FF-435D-A29D-EADE544C9DE2}" name="Pin Name" dataDxfId="348"/>
    <tableColumn id="2" xr3:uid="{D4BD8FC0-9711-4E90-A1B4-AC5FBA880C5A}" name="Pin Connection Guideline" dataDxfId="347">
      <calculatedColumnFormula>IF(var_OPN&lt;&gt;"",IF(varHasHPS="Yes",IF($C$26="Yes",IF($B$219="Yes",IFERROR(VLOOKUP(tblCHKHPSI3C[[#This Row],[Pin Name]],tblHPS_I3C,4,FALSE),MSG!$B$10),MSG!$L$30),MSG!$J$12),MSG!$J$11),MSG!$J$10)</calculatedColumnFormula>
    </tableColumn>
    <tableColumn id="3" xr3:uid="{892DB4C3-E64F-48CA-A803-1DBE7F0B31AB}" name="Implementation (User Input)" dataDxfId="346"/>
    <tableColumn id="4" xr3:uid="{84F53AAF-A7D3-4B3A-8AED-BB43BA9D52F0}" name="Status (User Input)" dataDxfId="345"/>
    <tableColumn id="5" xr3:uid="{DC933E1F-91B4-47D9-ACA0-80C47F029425}" name="Additional Info" dataDxfId="344">
      <calculatedColumnFormula>IF(var_OPN&lt;&gt;"",IF(varHasHPS="Yes",IF($C$26="Yes",IF($B$219="Yes",IFERROR(VLOOKUP(tblCHKHPSI3C[[#This Row],[Pin Name]],tblHPS_I3C,2,FALSE),MSG!$B$10),MSG!$L$30),MSG!$J$12),MSG!$J$11),MSG!$J$10)</calculatedColumnFormula>
    </tableColumn>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550E90B-BF47-4E1E-A014-D208B5EAF841}" name="tblCHKHVIOOPTFUNC" displayName="tblCHKHVIOOPTFUNC" ref="A145:E152" totalsRowShown="0" headerRowDxfId="343" dataDxfId="341" headerRowBorderDxfId="342" tableBorderDxfId="340" totalsRowBorderDxfId="339">
  <autoFilter ref="A145:E152" xr:uid="{0550E90B-BF47-4E1E-A014-D208B5EAF841}"/>
  <tableColumns count="5">
    <tableColumn id="1" xr3:uid="{000C0D9D-B03F-4396-A4BF-CF3FCB78C88E}" name="Pin Name" dataDxfId="338"/>
    <tableColumn id="2" xr3:uid="{90D418EE-E7C5-4846-B22F-79CFCE8A6705}" name="Pin Connection Guideline" dataDxfId="337">
      <calculatedColumnFormula>IF($B$131="Yes",IFERROR(VLOOKUP(tblCHKHVIOOPTFUNC[[#This Row],[Pin Name]],tblHVIO_OPT_FUNC,4,FALSE),MSG!$B$10),MSG!$M$10)</calculatedColumnFormula>
    </tableColumn>
    <tableColumn id="3" xr3:uid="{6BA40921-4FD4-40C4-8AA4-29C9E5B72612}" name="Implementation (User Input)" dataDxfId="336"/>
    <tableColumn id="4" xr3:uid="{79BC80D1-BFF0-44CE-8150-5169F6BA4BDD}" name="Status (User Input)" dataDxfId="335"/>
    <tableColumn id="5" xr3:uid="{9C0B6681-0AFD-49FB-A077-C42CF52002D0}" name="Additional Info" dataDxfId="334">
      <calculatedColumnFormula>IF($B$131="Yes",IFERROR(VLOOKUP(tblCHKHVIOOPTFUNC[[#This Row],[Pin Name]],tblHVIO_OPT_FUNC,3,FALSE),MSG!$B$10),MSG!$M$10)</calculatedColumnFormula>
    </tableColumn>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ADAB52A-BC22-43D4-93E6-969F1EAB9428}" name="tblCHKHPSCLK" displayName="tblCHKHPSCLK" ref="A224:E225" totalsRowShown="0" headerRowDxfId="333" dataDxfId="331" headerRowBorderDxfId="332" tableBorderDxfId="330">
  <autoFilter ref="A224:E225" xr:uid="{AADAB52A-BC22-43D4-93E6-969F1EAB9428}"/>
  <tableColumns count="5">
    <tableColumn id="1" xr3:uid="{659C0EAA-FD9E-4C9A-A90B-0F4FB07EC6F5}" name="Pin Name" dataDxfId="329"/>
    <tableColumn id="2" xr3:uid="{C0F21CE9-42AA-4F4F-A8B7-2D21C453C929}" name="Pin Connection Guideline" dataDxfId="328">
      <calculatedColumnFormula>IF(var_OPN&lt;&gt;"",IF(varHasHPS="Yes",IF($C$26="Yes",IFERROR(VLOOKUP(tblCHKHPSCLK[[#This Row],[Pin Name]],tblHPS_CLK,4,FALSE),MSG!$B$10),MSG!$J$12),MSG!$J$11),MSG!$J$10)</calculatedColumnFormula>
    </tableColumn>
    <tableColumn id="3" xr3:uid="{75439B55-D7C1-4E7A-8100-A16CD11D32A1}" name="Implementation (User Input)" dataDxfId="327"/>
    <tableColumn id="4" xr3:uid="{39556E11-6161-4908-B548-53E1C1D56B25}" name="Status (User Input)" dataDxfId="326"/>
    <tableColumn id="5" xr3:uid="{F47F2AB9-1F66-4DE8-A2EA-704487F68FF6}" name="Additional Info" dataDxfId="325">
      <calculatedColumnFormula>IF(var_OPN&lt;&gt;"",IF(varHasHPS="Yes",IF($C$26="Yes",IFERROR(VLOOKUP(tblCHKHPSCLK[[#This Row],[Pin Name]],tblHPS_CLK,2,FALSE),MSG!$B$10),MSG!$J$12),MSG!$J$11),MSG!$J$10)</calculatedColumnFormula>
    </tableColumn>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C1D4D65-168D-44F6-A368-3C5E5D9C031B}" name="tblCHKHPSJTAG" displayName="tblCHKHPSJTAG" ref="A228:E232" totalsRowShown="0" headerRowDxfId="324" dataDxfId="322" headerRowBorderDxfId="323" tableBorderDxfId="321">
  <autoFilter ref="A228:E232" xr:uid="{AC1D4D65-168D-44F6-A368-3C5E5D9C031B}"/>
  <tableColumns count="5">
    <tableColumn id="1" xr3:uid="{ACCF9D0A-2D6C-4943-B0D9-4CF8840DFFC0}" name="Pin Name" dataDxfId="320"/>
    <tableColumn id="2" xr3:uid="{6BA637F5-6F38-455C-95D0-99FCFE6FB8DA}" name="Pin Connection Guideline" dataDxfId="319">
      <calculatedColumnFormula>IF(var_OPN&lt;&gt;"",IF(varHasHPS="Yes",IF($C$26="Yes",IF($B$212="Yes",IFERROR(VLOOKUP(tblCHKHPSJTAG[[#This Row],[Pin Name]],tblHPS_JTAG,4,FALSE),MSG!$B$10),MSG!$J$20),MSG!$J$12),MSG!$J$11),MSG!$J$10)</calculatedColumnFormula>
    </tableColumn>
    <tableColumn id="3" xr3:uid="{019A5F47-DC4B-4BE6-873C-7D377C41AE40}" name="Implementation (User Input)" dataDxfId="318"/>
    <tableColumn id="4" xr3:uid="{CC6AD3A0-77AC-415A-A67D-DD779567F6C5}" name="Status (User Input)" dataDxfId="317"/>
    <tableColumn id="5" xr3:uid="{73066EBB-074C-4AE1-BFC7-404890B95825}" name="Additional Info" dataDxfId="316">
      <calculatedColumnFormula>IF(var_OPN&lt;&gt;"",IF(varHasHPS="Yes",IF($C$26="Yes",IF($B$212="Yes",IFERROR(VLOOKUP(tblCHKHPSJTAG[[#This Row],[Pin Name]],tblHPS_JTAG,2,FALSE),MSG!$B$10),MSG!$J$20),MSG!$J$12),MSG!$J$11),MSG!$J$10)</calculatedColumnFormula>
    </tableColumn>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161D1D9-10DA-44CD-AF25-1AB66CD5A680}" name="tblCHKLPDDR4PIN" displayName="tblCHKLPDDR4PIN" ref="A180:E192" totalsRowShown="0" headerRowDxfId="315" dataDxfId="313" headerRowBorderDxfId="314" tableBorderDxfId="312">
  <autoFilter ref="A180:E192" xr:uid="{8161D1D9-10DA-44CD-AF25-1AB66CD5A680}"/>
  <tableColumns count="5">
    <tableColumn id="1" xr3:uid="{B8596CF8-31DD-4F34-B925-24A06346425F}" name="Pin Name" dataDxfId="311"/>
    <tableColumn id="2" xr3:uid="{8E79305D-DCC9-4F2B-ADC8-D3DD1E1112F9}" name="Pin Connection Guideline" dataDxfId="310">
      <calculatedColumnFormula>IF(AND($C$24="Yes",$B$176="Yes"),IFERROR(VLOOKUP(tblCHKLPDDR4PIN[[#This Row],[Pin Name]],tblLPDDR4[],2,FALSE),MSG!$B$10),MSG!$I$40)</calculatedColumnFormula>
    </tableColumn>
    <tableColumn id="4" xr3:uid="{682EDCC2-B35B-4676-ADF5-53C6E98CC9B2}" name="Implementation (User Input)" dataDxfId="309"/>
    <tableColumn id="5" xr3:uid="{00850B2C-30B1-4FDE-8DD0-40D88D3211D3}" name="Status (User Input)" dataDxfId="308"/>
    <tableColumn id="3" xr3:uid="{154C446A-8D00-4BDE-9291-27F3EC0B2BA8}" name="Additional Info" dataDxfId="307">
      <calculatedColumnFormula>IF(AND($C$24="Yes",$B$176="Yes"),IFERROR(VLOOKUP(tblCHKLPDDR4PIN[[#This Row],[Pin Name]],tblLPDDR4[],3,FALSE),MSG!$B$10),MSG!$I$40)</calculatedColumnFormula>
    </tableColumn>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AE0B677-F6DC-4CFA-85D3-C2FC0F393701}" name="tblCHKLPDDR4TER" displayName="tblCHKLPDDR4TER" ref="A194:E206" totalsRowShown="0" headerRowDxfId="306" dataDxfId="304" headerRowBorderDxfId="305" tableBorderDxfId="303">
  <autoFilter ref="A194:E206" xr:uid="{3AE0B677-F6DC-4CFA-85D3-C2FC0F393701}"/>
  <tableColumns count="5">
    <tableColumn id="1" xr3:uid="{073F5B4E-D637-41E1-8B07-601E5F22ACE0}" name="Pin Name" dataDxfId="302"/>
    <tableColumn id="2" xr3:uid="{4D2C2A8F-53AB-4563-B108-44F1382CB2B8}" name="Pin Connection Guideline" dataDxfId="301">
      <calculatedColumnFormula>IF(AND($C$24="Yes",$B$176="Yes"),IFERROR(VLOOKUP(tblCHKLPDDR4TER[[#This Row],[Pin Name]],tblLPDDR4TER[],2,FALSE),MSG!$B$10),MSG!$I$40)</calculatedColumnFormula>
    </tableColumn>
    <tableColumn id="3" xr3:uid="{55701AF3-EDEB-46B4-B8AF-41B83F016EEF}" name="Implementation (User Input)" dataDxfId="300"/>
    <tableColumn id="4" xr3:uid="{1B324D5A-D67C-45E9-8474-C3CFD07C68A9}" name="Status (User Input)" dataDxfId="299"/>
    <tableColumn id="5" xr3:uid="{4C1F3FFC-A0BF-480E-8161-838308939D50}" name="Additional Info" dataDxfId="298">
      <calculatedColumnFormula>IF(AND($C$24="Yes",$B$176="Yes"),IFERROR(VLOOKUP(tblCHKLPDDR4TER[[#This Row],[Pin Name]],tblLPDDR4TER[],3,FALSE),MSG!$B$10),MSG!$I$40)</calculatedColumnFormula>
    </tableColumn>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CB699E-7F01-44CF-B933-A0DF054FE86A}" name="tblCHKHSIO" displayName="tblCHKHSIO" ref="A137:E138" totalsRowShown="0" headerRowDxfId="297" dataDxfId="295" headerRowBorderDxfId="296" tableBorderDxfId="294" totalsRowBorderDxfId="293">
  <autoFilter ref="A137:E138" xr:uid="{A1CB699E-7F01-44CF-B933-A0DF054FE86A}"/>
  <tableColumns count="5">
    <tableColumn id="1" xr3:uid="{8859C31D-2854-41D5-AA51-41EAC5E4A09E}" name="Pin Name" dataDxfId="292"/>
    <tableColumn id="2" xr3:uid="{C83C7D0B-C5B3-4754-B8A2-3A421A893523}" name="Pin Connection Guideline" dataDxfId="291">
      <calculatedColumnFormula>IFERROR(VLOOKUP(tblCHKHSIO[[#This Row],[Pin Name]],tblHSIO,4,FALSE),MSG!$B$10)</calculatedColumnFormula>
    </tableColumn>
    <tableColumn id="3" xr3:uid="{A395FE9C-B970-415A-8766-7BE62F338549}" name="Implementation (User Input)" dataDxfId="290"/>
    <tableColumn id="4" xr3:uid="{53212B29-8F20-460B-B1C0-1C6E1E13BC28}" name="Status (User Input)" dataDxfId="289"/>
    <tableColumn id="5" xr3:uid="{B839F1B6-6631-47E9-A754-7F8EFC61B055}" name="Additional Info" dataDxfId="288">
      <calculatedColumnFormula>IFERROR(VLOOKUP(tblCHKHSIO[[#This Row],[Pin Name]],tblHSIO,3,FALSE),MSG!$B$10)</calculatedColumnFormula>
    </tableColumn>
  </tableColumns>
  <tableStyleInfo name="TableStyleLight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EEF655-27EC-4BB0-B14B-DBC72F17FFF3}" name="tblCHKHVIO" displayName="tblCHKHVIO" ref="A141:E142" totalsRowShown="0" headerRowDxfId="287" dataDxfId="285" headerRowBorderDxfId="286" tableBorderDxfId="284" totalsRowBorderDxfId="283">
  <autoFilter ref="A141:E142" xr:uid="{DDEEF655-27EC-4BB0-B14B-DBC72F17FFF3}"/>
  <tableColumns count="5">
    <tableColumn id="1" xr3:uid="{BA6C388A-DDE9-47AA-9A94-F49EA02EBBEA}" name="Pin Name" dataDxfId="282"/>
    <tableColumn id="2" xr3:uid="{2B2B756D-5765-494F-8952-44BA94BCDB60}" name="Pin Connection Guideline" dataDxfId="281">
      <calculatedColumnFormula>IFERROR(VLOOKUP(tblCHKHVIO[[#This Row],[Pin Name]],tblHVIO,4,FALSE),MSG!$B$10)</calculatedColumnFormula>
    </tableColumn>
    <tableColumn id="3" xr3:uid="{768DD980-E86E-480B-9218-F91317C15B6A}" name="Implementation (User Input)" dataDxfId="280"/>
    <tableColumn id="4" xr3:uid="{A71C18DA-F44F-4EC5-8BDE-52C77D515C62}" name="Status (User Input)" dataDxfId="279"/>
    <tableColumn id="5" xr3:uid="{B5274822-E7DC-429D-AFE1-8D28A82EFBD6}" name="Additional Info" dataDxfId="278">
      <calculatedColumnFormula>IFERROR(VLOOKUP(tblCHKHVIO[[#This Row],[Pin Name]],tblHVIO,3,FALSE),MSG!$B$10)</calculatedColumnFormula>
    </tableColumn>
  </tableColumns>
  <tableStyleInfo name="TableStyleLight8"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260B3903-B806-42F9-811C-C89784232D9C}" name="tblCHKGPIORZQ" displayName="tblCHKGPIORZQ" ref="A133:E134" totalsRowShown="0" headerRowDxfId="277" dataDxfId="275" headerRowBorderDxfId="276" tableBorderDxfId="274">
  <autoFilter ref="A133:E134" xr:uid="{260B3903-B806-42F9-811C-C89784232D9C}"/>
  <tableColumns count="5">
    <tableColumn id="1" xr3:uid="{2733E12D-FBD5-444C-9434-C8A7582DB8FF}" name="Pin Name" dataDxfId="273"/>
    <tableColumn id="2" xr3:uid="{4308CF0D-9803-4B8A-965E-0D793CF675DF}" name="Pin Connection Guideline" dataDxfId="272">
      <calculatedColumnFormula>IFERROR(VLOOKUP(tblCHKGPIORZQ[[#This Row],[Pin Name]],tblGPIO_RZQ,4,FALSE),MSG!$B$10)</calculatedColumnFormula>
    </tableColumn>
    <tableColumn id="3" xr3:uid="{6D644B7F-4979-40BF-8A2A-E1E744324A82}" name="Implementation (User Input)" dataDxfId="271"/>
    <tableColumn id="4" xr3:uid="{16F33F25-D4E8-4121-9BF8-D37E75E90414}" name="Status (User Input)" dataDxfId="270"/>
    <tableColumn id="5" xr3:uid="{F926B950-4468-46E3-A72C-B4AFD9BD418B}" name="Additional Info" dataDxfId="269">
      <calculatedColumnFormula>IFERROR(VLOOKUP(tblCHKGPIORZQ[[#This Row],[Pin Name]],tblGPIO_RZQ,3,FALSE),MSG!$B$10)</calculatedColumnFormula>
    </tableColumn>
  </tableColumns>
  <tableStyleInfo name="TableStyleLight8"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08B137E-D7B9-4F03-9B10-04B9A46297E9}" name="tblOPNAgx" displayName="tblOPNAgx" ref="A2:W317" totalsRowShown="0" headerRowDxfId="267" tableBorderDxfId="266">
  <tableColumns count="23">
    <tableColumn id="1" xr3:uid="{E56AF086-80F8-4FDA-865E-4770A1260DD7}" name="OPN" dataDxfId="265"/>
    <tableColumn id="2" xr3:uid="{10340E84-54ED-4FA5-9D61-E7870212B1A2}" name="Type" dataDxfId="264"/>
    <tableColumn id="3" xr3:uid="{6235546C-7405-46D5-AA54-D3BBFA214054}" name="Device" dataDxfId="263"/>
    <tableColumn id="4" xr3:uid="{86B7ECD8-AB03-4B1D-95B4-EF0BDE5E018B}" name="Family Variant" dataDxfId="262"/>
    <tableColumn id="5" xr3:uid="{CBFDFEEA-FCB1-4109-8A58-DC45FC185DAF}" name="Device Group" dataDxfId="261"/>
    <tableColumn id="6" xr3:uid="{47B2113E-E38C-49FC-A6AA-6ED86AF5DC1D}" name="Package Code" dataDxfId="260"/>
    <tableColumn id="7" xr3:uid="{89143916-E8AC-47C8-BCD5-456CA2B39E6C}" name="Speed Package Code" dataDxfId="259"/>
    <tableColumn id="8" xr3:uid="{EA0F1998-AA95-4417-B887-EF3EC3E01DA2}" name="Speed Grade" dataDxfId="258"/>
    <tableColumn id="9" xr3:uid="{32EFE792-C89D-486C-AF06-4CE915D787C0}" name="HSSI Speed Grade" dataDxfId="257"/>
    <tableColumn id="10" xr3:uid="{8A60DB4E-BAAB-428E-AB1E-D0745A588075}" name="Crypto Support" dataDxfId="256"/>
    <tableColumn id="11" xr3:uid="{74BE0676-6236-4599-B342-1ED20C44F9A7}" name="Temperature Grade" dataDxfId="255"/>
    <tableColumn id="12" xr3:uid="{A2C23F12-1582-4735-A276-4BBFC9F00962}" name="Core Voltage" dataDxfId="254"/>
    <tableColumn id="13" xr3:uid="{FA8A7C54-157D-4219-8066-D30CF71648FF}" name="CXL Tile" dataDxfId="253"/>
    <tableColumn id="14" xr3:uid="{97E1E862-22B9-4E63-B12D-5E0E2145B14E}" name="Partial Good Die Support" dataDxfId="252"/>
    <tableColumn id="15" xr3:uid="{2D99D537-14C7-4999-8386-546B701258D2}" name="HPS Support" dataDxfId="251"/>
    <tableColumn id="16" xr3:uid="{4A3325D1-B14B-47F9-93F3-E707E705DFB1}" name="Support Advance Security" dataDxfId="250"/>
    <tableColumn id="17" xr3:uid="{A6DF8F8D-170B-4691-844A-B7C87A64B4A3}" name="ALM" dataDxfId="249"/>
    <tableColumn id="18" xr3:uid="{0D549884-82E4-4BAE-BA2E-E91E1E794BE6}" name="M20K Memory Blocks" dataDxfId="248"/>
    <tableColumn id="19" xr3:uid="{A5C66E9C-BDEA-443F-8930-DF7F06DD6896}" name="IOPLL" dataDxfId="247"/>
    <tableColumn id="20" xr3:uid="{CA918869-A29D-4303-96A0-6AB748FEFD53}" name="DSP Blocks" dataDxfId="246"/>
    <tableColumn id="21" xr3:uid="{31DA0A88-0A1B-4080-B661-1C3F75D28C37}" name="Logic Elements" dataDxfId="245"/>
    <tableColumn id="22" xr3:uid="{24C04F2C-360F-4FDE-B4B6-C90145B76490}" name="Maximum User I/O count" dataDxfId="244"/>
    <tableColumn id="23" xr3:uid="{7C4913DB-4E2F-434A-8CFB-D7E7FF5C8AB8}" name="FirstRelease" dataDxfId="243"/>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CEA0264-B771-4DF3-AD2D-EAA8459A5DE9}" name="tblPWR_DCP_device" displayName="tblPWR_DCP_device" ref="A8:D24" totalsRowShown="0" headerRowDxfId="242" dataDxfId="241">
  <autoFilter ref="A8:D24" xr:uid="{2016B683-618F-4384-A24B-0D944C0E3F29}"/>
  <tableColumns count="4">
    <tableColumn id="1" xr3:uid="{DE786858-CC28-415D-BC9C-E3EED089BEEE}" name="Device" dataDxfId="240"/>
    <tableColumn id="2" xr3:uid="{0C4D9FF7-F976-4901-9965-6DD267447D65}" name="Group" dataDxfId="239"/>
    <tableColumn id="3" xr3:uid="{BFD37D7D-0CA8-479F-8D5A-C106BE599BC8}" name="DCP" dataDxfId="238">
      <calculatedColumnFormula>_xlfn.CONCAT("Bottom-side Capacitors :",#REF!," ","Periphery Capacitors :",#REF!)</calculatedColumnFormula>
    </tableColumn>
    <tableColumn id="4" xr3:uid="{ACA09A25-9E8D-4CAC-8AA7-8CAE624BB977}" name="Notes" dataDxfId="237">
      <calculatedColumnFormula>#REF!</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9672A2B-4589-4DB1-8FC2-0AC14F2A7845}" name="tblPWR_DCP" displayName="tblPWR_DCP" ref="A27:C60" totalsRowShown="0" headerRowDxfId="236" dataDxfId="235">
  <autoFilter ref="A27:C60" xr:uid="{47D56EC6-B60A-41F2-9117-7576B8CE4F0F}"/>
  <tableColumns count="3">
    <tableColumn id="1" xr3:uid="{9FCBC3F7-A709-4E76-BE9D-8B34A71CF989}" name="Rail Name" dataDxfId="234"/>
    <tableColumn id="2" xr3:uid="{B0102AF6-B87B-4611-BFAF-11FA2237FCE7}" name="DCP" dataDxfId="233">
      <calculatedColumnFormula>_xlfn.CONCAT("Bottom-side Capacitors :",#REF!," ","Periphery Capacitors :",#REF!)</calculatedColumnFormula>
    </tableColumn>
    <tableColumn id="4" xr3:uid="{6873A7F1-9BB3-4AB1-B7D3-E7284E34064F}" name="Notes" dataDxfId="232">
      <calculatedColumnFormula>#REF!</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1869BAB-215B-4237-8173-7E0286374CB1}" name="tblDCP_tile" displayName="tblDCP_tile" ref="A3:D4" totalsRowShown="0" headerRowDxfId="231" dataDxfId="230">
  <autoFilter ref="A3:D4" xr:uid="{582B0390-1B82-4DFC-97AD-30342057C2A1}"/>
  <tableColumns count="4">
    <tableColumn id="1" xr3:uid="{7A905441-EA7E-4E0B-A507-EDF0FC130842}" name="tile" dataDxfId="229">
      <calculatedColumnFormula>VLOOKUP($A$2,tblOPNAgx[[#All],[OPN]:[Device Group]],5,FALSE)</calculatedColumnFormula>
    </tableColumn>
    <tableColumn id="2" xr3:uid="{0A761F08-F17F-46E8-84D6-9AC3E64331B7}" name="tile1" dataDxfId="228">
      <calculatedColumnFormula>MID($A$4,1,6)</calculatedColumnFormula>
    </tableColumn>
    <tableColumn id="3" xr3:uid="{29C16FBA-D78A-4608-98E6-EA54964A6261}" name="Column3" dataDxfId="227">
      <calculatedColumnFormula>MID($A$4,7,3)</calculatedColumnFormula>
    </tableColumn>
    <tableColumn id="4" xr3:uid="{D3997617-A34A-4BF0-8EB9-B3D335213C97}" name="tile2" dataDxfId="226">
      <calculatedColumnFormula>MID($A$4,10,16)</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1A8BCD-B69E-44CD-A1FD-056A7BFB4237}" name="tblPWR" displayName="tblPWR" ref="A1:F34" totalsRowShown="0" headerRowDxfId="225" dataDxfId="223" headerRowBorderDxfId="224" tableBorderDxfId="222" totalsRowBorderDxfId="221">
  <autoFilter ref="A1:F34" xr:uid="{BDC7DAA1-A89A-4600-9DA5-430DFDE957E3}"/>
  <tableColumns count="6">
    <tableColumn id="1" xr3:uid="{557A7027-4563-4D7D-8A7B-56B2BFA1D1DA}" name="Pin Name" dataDxfId="220"/>
    <tableColumn id="5" xr3:uid="{BFEE4F26-F3B3-4625-BE9B-E7AC21843B04}" name="pin type" dataDxfId="219"/>
    <tableColumn id="3" xr3:uid="{2D53A732-E200-4C8F-9E43-4142DD83D652}" name="Addiontal Info" dataDxfId="218"/>
    <tableColumn id="2" xr3:uid="{9AE8C32E-D707-4F97-A23B-446D8194F920}" name="Pin Connection Guideline" dataDxfId="217"/>
    <tableColumn id="4" xr3:uid="{DC785B45-9AD4-498F-BF75-70CD2E2AF6FA}" name="Power Group" dataDxfId="216"/>
    <tableColumn id="6" xr3:uid="{460A6411-DD9E-448B-A26E-BD507BEEE550}" name="Note" dataDxfId="2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071B6DF-6E09-490E-8629-62420165CA9F}" name="tbl_DCP_Source47" displayName="tbl_DCP_Source47" ref="I3:M36" totalsRowShown="0" headerRowDxfId="214" dataDxfId="212" headerRowBorderDxfId="213" tableBorderDxfId="211">
  <autoFilter ref="I3:M36" xr:uid="{F071B6DF-6E09-490E-8629-62420165CA9F}"/>
  <tableColumns count="5">
    <tableColumn id="1" xr3:uid="{F680CB51-76E2-4EA6-9135-D113C28E2186}" name="Column1" dataDxfId="210"/>
    <tableColumn id="2" xr3:uid="{ADE98A31-AA8F-40AD-A86F-2D236F349813}" name="Column2" dataDxfId="209"/>
    <tableColumn id="3" xr3:uid="{56D5CF91-B277-43AB-85D3-1EC580E98020}" name="Column3" dataDxfId="208"/>
    <tableColumn id="5" xr3:uid="{9BF63817-C211-42F8-9C18-47021FBA4895}" name="Column5" dataDxfId="207"/>
    <tableColumn id="7" xr3:uid="{3EED9657-584F-4319-AC82-99BC44F301F9}" name="Column7" dataDxfId="20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7CC967-DF50-46F2-B9DE-1D7299BFB4E7}" name="tblSDM" displayName="tblSDM" ref="A1:D30" totalsRowShown="0" headerRowDxfId="205" dataDxfId="204">
  <autoFilter ref="A1:D30" xr:uid="{D97CC967-DF50-46F2-B9DE-1D7299BFB4E7}"/>
  <tableColumns count="4">
    <tableColumn id="1" xr3:uid="{8EA54BE4-CA83-4F4A-BFC5-F3F537FC93D8}" name="Pin Name" dataDxfId="203"/>
    <tableColumn id="7" xr3:uid="{9C197AEA-87EB-4F56-87A0-96F54A97D887}" name="Pin type" dataDxfId="202"/>
    <tableColumn id="3" xr3:uid="{0EFEB15C-7C2F-4939-9026-60DE8DC1DE2B}" name="Addiontal Info" dataDxfId="201"/>
    <tableColumn id="2" xr3:uid="{DA295FEF-5F3D-4FF0-9A2A-D9B71862B411}" name="Pin Connection Guideline" dataDxfId="200"/>
  </tableColumns>
  <tableStyleInfo name="TableStyleLight1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A0FFA86-5262-45A4-9D78-0896D9B3CA38}" name="tblSDMIO" displayName="tblSDMIO" ref="A1:C34" totalsRowShown="0" headerRowDxfId="199" dataDxfId="198" tableBorderDxfId="197">
  <autoFilter ref="A1:C34" xr:uid="{0A0FFA86-5262-45A4-9D78-0896D9B3CA38}"/>
  <tableColumns count="3">
    <tableColumn id="1" xr3:uid="{8CD58997-BDB7-4DC1-B434-E60F9893EBEF}" name="Singal Name" dataDxfId="196"/>
    <tableColumn id="3" xr3:uid="{F3ED4D71-85A7-46AB-8EA7-584C80EF9071}" name="Addiontal Info" dataDxfId="195"/>
    <tableColumn id="2" xr3:uid="{FEE599B8-C049-480A-8E63-8B58C245FAE5}" name="Pin Connection Guideline" dataDxfId="194"/>
  </tableColumns>
  <tableStyleInfo name="TableStyleLight1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D659FF1-4D62-476C-8E3B-84916FDFA192}" name="tblAS" displayName="tblAS" ref="D20:AH38" totalsRowShown="0" headerRowDxfId="183" dataDxfId="182" tableBorderDxfId="181">
  <autoFilter ref="D20:AH38" xr:uid="{6D659FF1-4D62-476C-8E3B-84916FDFA192}"/>
  <tableColumns count="31">
    <tableColumn id="1" xr3:uid="{087BEB52-CE14-42B3-AE75-DF0E6BBAA119}" name="AS_CLK" dataDxfId="180"/>
    <tableColumn id="2" xr3:uid="{BD04576A-7625-4D36-9949-C7139D550267}" name="AS_DATA0" dataDxfId="179"/>
    <tableColumn id="3" xr3:uid="{BC8CE6CF-43AD-4BEB-9902-B3053F29D650}" name="AS_DATA1" dataDxfId="178"/>
    <tableColumn id="4" xr3:uid="{5F4A4362-C0CA-4EC8-A9FC-5723856F8135}" name="AS_DATA2" dataDxfId="177"/>
    <tableColumn id="5" xr3:uid="{32A646A0-F3C1-4B93-8C59-42D2510032F7}" name="AS_DATA3" dataDxfId="176"/>
    <tableColumn id="6" xr3:uid="{FA3345D9-0DCA-42CB-AC26-9007E20675B2}" name="AS_nCSO0" dataDxfId="175"/>
    <tableColumn id="7" xr3:uid="{7E1F05A5-80D6-49E6-AE37-E9494F4A4DC1}" name="AS_nCSO1" dataDxfId="174"/>
    <tableColumn id="8" xr3:uid="{6730ACA7-FBD5-47D8-AAB7-8C3E4A75AF7B}" name="AS_nCSO2" dataDxfId="173"/>
    <tableColumn id="9" xr3:uid="{E01B0C0D-B77A-4990-879E-F3E761FD4725}" name="AS_nCSO3" dataDxfId="172"/>
    <tableColumn id="10" xr3:uid="{A82EB887-CD0A-4E74-BD66-D5C5E57AF14A}" name="AS_nRST" dataDxfId="171"/>
    <tableColumn id="11" xr3:uid="{5EF38292-188F-4A00-8DA7-99263A25CA5C}" name="AVSTx8_CLK" dataDxfId="170"/>
    <tableColumn id="12" xr3:uid="{C703F884-C040-4F80-ADAD-B019204DBFFB}" name="AVSTx8_DATA0" dataDxfId="169"/>
    <tableColumn id="13" xr3:uid="{A230DC9E-0E0D-4C50-9822-24A90A13BCF1}" name="AVSTx8_DATA1" dataDxfId="168"/>
    <tableColumn id="14" xr3:uid="{D5074D6E-19E8-4AFD-AE4A-B6126C4DE2EF}" name="AVSTx8_DATA2" dataDxfId="167"/>
    <tableColumn id="15" xr3:uid="{4BB18960-E6A7-4B10-84F5-5CF6B86C9AAB}" name="AVSTx8_DATA3" dataDxfId="166"/>
    <tableColumn id="16" xr3:uid="{A1F07F7B-CB2C-4096-9C21-4ADC8C3D3FE5}" name="AVSTx8_DATA4" dataDxfId="165"/>
    <tableColumn id="17" xr3:uid="{16D94790-CC31-4C34-A0D9-F930E591EA29}" name="AVSTx8_DATA5" dataDxfId="164"/>
    <tableColumn id="18" xr3:uid="{E1FF90AE-4AE4-4533-9509-9E61B200F7F9}" name="AVSTx8_DATA6" dataDxfId="163"/>
    <tableColumn id="19" xr3:uid="{5ECAFF28-D87C-4B27-A355-DDF1A677CD60}" name="AVSTx8_DATA7" dataDxfId="162"/>
    <tableColumn id="21" xr3:uid="{E1992AD5-EA4A-4965-82F9-0AD30AC32231}" name="AVSTx8_READY" dataDxfId="161"/>
    <tableColumn id="22" xr3:uid="{851963FE-4D21-4093-8F78-D1D0E7D29F9E}" name="AVSTx8_VALID" dataDxfId="160"/>
    <tableColumn id="23" xr3:uid="{B345579D-DFC9-4639-9B2A-059C1B1A6B78}" name="PWRMGT_SCL" dataDxfId="159"/>
    <tableColumn id="24" xr3:uid="{81D19E60-2E74-4A81-A386-D5CD3514AEDC}" name="PWRMGT_SDA" dataDxfId="158"/>
    <tableColumn id="25" xr3:uid="{B939D6AA-5C58-4326-891A-00CAA8A79EFE}" name="PWRMGT_ALERT" dataDxfId="157"/>
    <tableColumn id="26" xr3:uid="{456D5F3E-3178-4185-AAF1-6078A049FFC1}" name="CONF_DONE" dataDxfId="156"/>
    <tableColumn id="27" xr3:uid="{7515E278-E1FF-4A15-BE25-FD63C03D26A6}" name="INIT_DONE" dataDxfId="155"/>
    <tableColumn id="28" xr3:uid="{F70CF685-E50A-49BD-933F-48B18C934A19}" name="CvP_CONFDONE" dataDxfId="154"/>
    <tableColumn id="29" xr3:uid="{D1C2F360-D4B1-4083-921D-795DED100095}" name="SEU_ERROR" dataDxfId="153"/>
    <tableColumn id="30" xr3:uid="{162EE231-76E7-4836-999C-A3E823E1EDDB}" name="HPS_COLD_nRESET" dataDxfId="152"/>
    <tableColumn id="31" xr3:uid="{E8A9677C-32DD-4C50-BF83-F35B6C2614A5}" name="Direct to Factory Image" dataDxfId="151"/>
    <tableColumn id="32" xr3:uid="{6DB844D8-9D58-4F97-9B38-1A9B43978E21}" name="nCATTRIP" dataDxfId="150"/>
  </tableColumns>
  <tableStyleInfo name="TableStyleLight8"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197703A-802F-44B4-B8B3-8FCA68C4DD67}" name="tblAVSTx8" displayName="tblAVSTx8" ref="D40:AH58" totalsRowShown="0" headerRowDxfId="149" dataDxfId="148" tableBorderDxfId="147">
  <autoFilter ref="D40:AH58" xr:uid="{1197703A-802F-44B4-B8B3-8FCA68C4DD67}"/>
  <tableColumns count="31">
    <tableColumn id="1" xr3:uid="{27E950E8-011A-4D67-B35F-E8978FBEE5CF}" name="AS_CLK" dataDxfId="146"/>
    <tableColumn id="2" xr3:uid="{2F2654AE-418D-430B-9D28-4C15A38E185D}" name="AS_DATA0" dataDxfId="145"/>
    <tableColumn id="3" xr3:uid="{84AB4931-967D-4ECD-941A-0126DCB23F92}" name="AS_DATA1" dataDxfId="144"/>
    <tableColumn id="4" xr3:uid="{7026C35C-A887-4F23-B66A-26850B783361}" name="AS_DATA2" dataDxfId="143"/>
    <tableColumn id="5" xr3:uid="{26F6F70F-3C36-4134-8298-7D9B43B5729B}" name="AS_DATA3" dataDxfId="142"/>
    <tableColumn id="6" xr3:uid="{7B6425F6-103A-405A-ACA0-7825CA410A0D}" name="AS_nCSO0" dataDxfId="141"/>
    <tableColumn id="7" xr3:uid="{FB92F480-0B7B-4ED2-B959-E24A060AEE4B}" name="AS_nCSO1" dataDxfId="140"/>
    <tableColumn id="8" xr3:uid="{D1E6BE8E-C9FA-45C9-8215-D3CF4C130537}" name="AS_nCSO2" dataDxfId="139"/>
    <tableColumn id="9" xr3:uid="{504C2037-4680-4720-8B7D-E72D29E2286D}" name="AS_nCSO3" dataDxfId="138"/>
    <tableColumn id="10" xr3:uid="{E68132F5-79EA-439E-8C0C-2A0D72305136}" name="AS_nRST" dataDxfId="137"/>
    <tableColumn id="11" xr3:uid="{9F284ABF-D1A8-4EAA-B91D-7F6BEBE1C439}" name="AVSTx8_CLK" dataDxfId="136"/>
    <tableColumn id="12" xr3:uid="{00E1231D-B2FB-40FB-8695-83DC3C93DE76}" name="AVSTx8_DATA0" dataDxfId="135"/>
    <tableColumn id="13" xr3:uid="{01EF02F8-9B54-4468-A955-CEF9F0BF7BA6}" name="AVSTx8_DATA1" dataDxfId="134"/>
    <tableColumn id="14" xr3:uid="{42DC53A1-8317-4AAD-926E-75521631DA08}" name="AVSTx8_DATA2" dataDxfId="133"/>
    <tableColumn id="15" xr3:uid="{B83CB102-04E1-48C8-8C28-9A6673A8356C}" name="AVSTx8_DATA3" dataDxfId="132"/>
    <tableColumn id="16" xr3:uid="{B9176D17-BE27-438B-BACC-90212A520F1F}" name="AVSTx8_DATA4" dataDxfId="131"/>
    <tableColumn id="17" xr3:uid="{0A84595D-E5D0-4A40-8996-7D584093F74B}" name="AVSTx8_DATA5" dataDxfId="130"/>
    <tableColumn id="18" xr3:uid="{69AC17BC-2C52-48CE-A54F-13256082B9B9}" name="AVSTx8_DATA6" dataDxfId="129"/>
    <tableColumn id="19" xr3:uid="{08AC86B4-8EE5-4AA3-ADFE-6E5220E13C76}" name="AVSTx8_DATA7" dataDxfId="128"/>
    <tableColumn id="21" xr3:uid="{F2C4F7A6-30E1-482E-B481-C7BD4FF753F2}" name="AVSTx8_READY" dataDxfId="127"/>
    <tableColumn id="22" xr3:uid="{C3AB7A02-1F83-428F-AF4A-8963DB54540D}" name="AVSTx8_VALID" dataDxfId="126"/>
    <tableColumn id="23" xr3:uid="{0117E853-A4C4-4372-B86C-10C2142DE727}" name="PWRMGT_SCL" dataDxfId="125"/>
    <tableColumn id="24" xr3:uid="{76FB589B-F960-4310-99B5-134FA8E13E3F}" name="PWRMGT_SDA" dataDxfId="124"/>
    <tableColumn id="25" xr3:uid="{35665413-6595-441D-B9C7-62F86B637506}" name="PWRMGT_ALERT" dataDxfId="123"/>
    <tableColumn id="26" xr3:uid="{FDA49160-5807-4DB5-A3FF-FF50E74D4EDC}" name="CONF_DONE" dataDxfId="122"/>
    <tableColumn id="27" xr3:uid="{70986509-2CD4-4C36-B80A-C7F282FEE1E9}" name="INIT_DONE" dataDxfId="121"/>
    <tableColumn id="28" xr3:uid="{814910CD-56DF-493D-AF83-49790631F00C}" name="CvP_CONFDONE" dataDxfId="120"/>
    <tableColumn id="29" xr3:uid="{696D7542-DFD2-460A-BCFF-7DCB2A2B3A95}" name="SEU_ERROR" dataDxfId="119"/>
    <tableColumn id="30" xr3:uid="{798E6B2B-1CC1-4FF9-84A6-52CE17766847}" name="HPS_COLD_nRESET" dataDxfId="118"/>
    <tableColumn id="31" xr3:uid="{A833DAB5-5E14-42D9-AE5E-DF45ED917135}" name="Direct to Factory Image" dataDxfId="117"/>
    <tableColumn id="32" xr3:uid="{CCF484A5-8E32-4065-B381-1C360AE921F3}" name="nCATTRIP" dataDxfId="116"/>
  </tableColumns>
  <tableStyleInfo name="TableStyleLight8"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DC14540-772C-433D-A204-56852C4206CE}" name="tblAVSTx16" displayName="tblAVSTx16" ref="D60:AH78" totalsRowShown="0" headerRowDxfId="115" dataDxfId="114" tableBorderDxfId="113">
  <autoFilter ref="D60:AH78" xr:uid="{1DC14540-772C-433D-A204-56852C4206CE}"/>
  <tableColumns count="31">
    <tableColumn id="1" xr3:uid="{32AB2018-446C-4166-8FF5-CAE51D80E199}" name="AS_CLK" dataDxfId="112"/>
    <tableColumn id="2" xr3:uid="{F96BD53D-014C-4877-A63B-C052FAA145CE}" name="AS_DATA0" dataDxfId="111"/>
    <tableColumn id="3" xr3:uid="{2E46F6F0-C60B-425D-8292-B359923F63DF}" name="AS_DATA1" dataDxfId="110"/>
    <tableColumn id="4" xr3:uid="{1FDA00DC-FE1E-4207-A91B-A16A1CECD3CF}" name="AS_DATA2" dataDxfId="109"/>
    <tableColumn id="5" xr3:uid="{E3D78F50-352C-48F7-898A-866D8F6DB500}" name="AS_DATA3" dataDxfId="108"/>
    <tableColumn id="6" xr3:uid="{0AC7BEC4-9C5C-453D-9074-4FB1E4C68FCB}" name="AS_nCSO0" dataDxfId="107"/>
    <tableColumn id="7" xr3:uid="{E3A5E861-BCEF-4CB2-B55C-DCEE0E1D03CC}" name="AS_nCSO1" dataDxfId="106"/>
    <tableColumn id="8" xr3:uid="{D831B5B5-FD2D-4388-AB9B-46312D57F86C}" name="AS_nCSO2" dataDxfId="105"/>
    <tableColumn id="9" xr3:uid="{BF0D1A94-3AED-400D-B78D-FC2C8C9FC7CE}" name="AS_nCSO3" dataDxfId="104"/>
    <tableColumn id="10" xr3:uid="{DFC71220-9AF2-4FDE-A1F5-E00DAAF9BB0A}" name="AS_nRST" dataDxfId="103"/>
    <tableColumn id="11" xr3:uid="{94EB7F9C-9E4A-42A7-9C22-2A1FFE7A470D}" name="AVSTx8_CLK" dataDxfId="102"/>
    <tableColumn id="12" xr3:uid="{D0D932FB-783F-41F2-A490-DF16F80C890C}" name="AVSTx8_DATA0" dataDxfId="101"/>
    <tableColumn id="13" xr3:uid="{E0333B51-1497-45BC-BEC3-96F66E77D6EA}" name="AVSTx8_DATA1" dataDxfId="100"/>
    <tableColumn id="14" xr3:uid="{608813B6-324D-4D96-926F-A9CCE1C328DB}" name="AVSTx8_DATA2" dataDxfId="99"/>
    <tableColumn id="15" xr3:uid="{D40E7D47-BB88-4C53-A6DD-5EDA57C041AF}" name="AVSTx8_DATA3" dataDxfId="98"/>
    <tableColumn id="16" xr3:uid="{D1372C19-9278-4B8D-957D-1642D184432B}" name="AVSTx8_DATA4" dataDxfId="97"/>
    <tableColumn id="17" xr3:uid="{90D99EA3-62BB-4296-9279-C2C7340CE176}" name="AVSTx8_DATA5" dataDxfId="96"/>
    <tableColumn id="18" xr3:uid="{D04BE920-96DB-47F1-B4C0-234B647665E0}" name="AVSTx8_DATA6" dataDxfId="95"/>
    <tableColumn id="19" xr3:uid="{5816B9D4-1A02-40D4-98F0-F2F63CBCFE45}" name="AVSTx8_DATA7" dataDxfId="94"/>
    <tableColumn id="21" xr3:uid="{C1CBC4ED-3172-45FF-A0A1-9E915319671D}" name="AVSTx8_READY" dataDxfId="93"/>
    <tableColumn id="22" xr3:uid="{69100D02-3DA6-4728-ACA9-8BEF51ACD689}" name="AVSTx8_VALID" dataDxfId="92"/>
    <tableColumn id="23" xr3:uid="{6864E5A6-A5EA-4D94-9F07-A262F2D03B8D}" name="PWRMGT_SCL" dataDxfId="91"/>
    <tableColumn id="24" xr3:uid="{91FA0E02-06B5-42E8-8FF6-BD03E805A409}" name="PWRMGT_SDA" dataDxfId="90"/>
    <tableColumn id="25" xr3:uid="{74316142-BE72-4307-BDD4-8877230786C2}" name="PWRMGT_ALERT" dataDxfId="89"/>
    <tableColumn id="26" xr3:uid="{DB97C9CC-CF13-4851-B7B0-3F9E664059F3}" name="CONF_DONE" dataDxfId="88"/>
    <tableColumn id="27" xr3:uid="{606EE739-BA4E-4DF1-BC01-9A7F2237D50F}" name="INIT_DONE" dataDxfId="87"/>
    <tableColumn id="28" xr3:uid="{9FC33FFB-458B-4176-8DF4-3D097609A89B}" name="CvP_CONFDONE" dataDxfId="86"/>
    <tableColumn id="29" xr3:uid="{7C70B9EA-B9E8-4CEB-9366-9531C312B00D}" name="SEU_ERROR" dataDxfId="85"/>
    <tableColumn id="30" xr3:uid="{C482545B-65FE-43C3-9E13-EF938F9CC6CB}" name="HPS_COLD_nRESET" dataDxfId="84"/>
    <tableColumn id="31" xr3:uid="{B0DF8781-7936-4894-95B4-DC719C3414FB}" name="Direct to Factory Image" dataDxfId="83"/>
    <tableColumn id="32" xr3:uid="{0DF690E8-6B5C-44CF-A0EA-2DD744D60FE9}" name="nCATTRIP" dataDxfId="82"/>
  </tableColumns>
  <tableStyleInfo name="TableStyleLight8"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B5B85EB-4FFE-46F6-A0A9-DE650DFF0498}" name="tblPRESET" displayName="tblPRESET" ref="D3:I13" totalsRowShown="0" headerRowDxfId="81" dataDxfId="80" tableBorderDxfId="79">
  <autoFilter ref="D3:I13" xr:uid="{2B5B85EB-4FFE-46F6-A0A9-DE650DFF0498}"/>
  <tableColumns count="6">
    <tableColumn id="1" xr3:uid="{5745F52F-7FF0-483E-842F-754805A0E18C}" name="No" dataDxfId="78"/>
    <tableColumn id="2" xr3:uid="{582B2BB6-4BEA-4E9E-8672-9B850AB79A7A}" name="Preset1_ASx4_RSU" dataDxfId="77"/>
    <tableColumn id="3" xr3:uid="{2F67F2F2-C21E-45CB-863D-58414DF0E3EA}" name="Preset2_ASx4_CvP" dataDxfId="76"/>
    <tableColumn id="4" xr3:uid="{45B0F5B2-6A4F-4465-9FF2-3A6AA6005F9D}" name="Preset3_ASx4_HPS" dataDxfId="75"/>
    <tableColumn id="5" xr3:uid="{10AD1F93-72E6-4193-B5E2-76028BF41A4E}" name="Preset4_AVSTx8" dataDxfId="74"/>
    <tableColumn id="6" xr3:uid="{ACEF9A7E-BE29-49FA-B606-A149593868D6}" name="Preset5_AVSTx16" dataDxfId="73"/>
  </tableColumns>
  <tableStyleInfo name="TableStyleLight1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345AA16B-5450-4B4D-929E-B73ADC3CD937}" name="tblXCVR" displayName="tblXCVR" ref="A3:D17" totalsRowShown="0" headerRowDxfId="72" dataDxfId="71">
  <autoFilter ref="A3:D17" xr:uid="{345AA16B-5450-4B4D-929E-B73ADC3CD937}"/>
  <tableColumns count="4">
    <tableColumn id="1" xr3:uid="{49C43221-0425-4244-BFE1-0CF0E79F0807}" name="Pin Name" dataDxfId="70"/>
    <tableColumn id="4" xr3:uid="{5A16A305-EFF5-4E8B-AB23-C5CA0415AC43}" name="Pin Type" dataDxfId="69"/>
    <tableColumn id="3" xr3:uid="{0C2CA59A-718E-44B7-A5DC-E9A36371773E}" name="Addiontal Info" dataDxfId="68"/>
    <tableColumn id="2" xr3:uid="{8A13ABAA-0B43-433E-9EC9-2E67D529264C}" name="Pin Connection Guideline" dataDxfId="67"/>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1714E84-D5DF-4E7C-8B07-F3477D79F51C}" name="tblEMIF" displayName="tblEMIF" ref="A1:E4" totalsRowShown="0" headerRowDxfId="66" dataDxfId="65">
  <autoFilter ref="A1:E4" xr:uid="{DABB3268-AFDB-4552-889B-5A9FCE83549E}"/>
  <tableColumns count="5">
    <tableColumn id="1" xr3:uid="{C03DBB50-84D4-4F62-8D6E-54ECD673F12E}" name="Pin Name" dataDxfId="64"/>
    <tableColumn id="2" xr3:uid="{3D007E76-A9FC-4273-8B01-22F80E3136E2}" name="Pin Type" dataDxfId="63"/>
    <tableColumn id="3" xr3:uid="{D05E8122-7D26-4EBE-B4D3-2CC580325BDA}" name="Addiontal Info" dataDxfId="62"/>
    <tableColumn id="4" xr3:uid="{C618C6A9-B4B6-470C-B29E-BEDDCB1A7D1C}" name="Pin Connection Guideline2" dataDxfId="61"/>
    <tableColumn id="5" xr3:uid="{9E285EDC-9F46-40E6-8794-7860C29AB555}" name="Column1" dataDxfId="60"/>
  </tableColumns>
  <tableStyleInfo name="TableStyleLight8"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FEFFDEA7-CAF2-4C90-A2C9-8DD62D90328A}" name="tblEMIF_all" displayName="tblEMIF_all" ref="H1:K67" totalsRowShown="0" headerRowDxfId="59" dataDxfId="57" headerRowBorderDxfId="58" tableBorderDxfId="56">
  <autoFilter ref="H1:K67" xr:uid="{AACDF15D-CA3F-43A7-A2E6-63E24A749C5E}"/>
  <tableColumns count="4">
    <tableColumn id="1" xr3:uid="{0554D438-2C43-47B2-B8F5-3DBDEF8FC0A6}" name="Pin Name" dataDxfId="55"/>
    <tableColumn id="2" xr3:uid="{D3F44160-36C8-4DC1-B548-A19E8191604E}" name="Pin Connection Guideline" dataDxfId="54"/>
    <tableColumn id="3" xr3:uid="{584EBAC5-685D-4AD0-B799-88FF1CE6563D}" name="Addiontal Info" dataDxfId="53"/>
    <tableColumn id="5" xr3:uid="{E661F922-8CE2-4722-80F5-DA8869427644}" name="Note" dataDxfId="5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A8129BF3-7854-409B-BA82-A22A830235F5}" name="tblDDR4" displayName="tblDDR4" ref="A2:D14" totalsRowShown="0" headerRowDxfId="51">
  <autoFilter ref="A2:D14" xr:uid="{0259172F-33D2-4DF3-A094-E6B5B1160BF7}"/>
  <tableColumns count="4">
    <tableColumn id="1" xr3:uid="{2DB55E47-9193-4DBD-BA66-CAA7DB5E2982}" name="Pin Name" dataDxfId="50"/>
    <tableColumn id="2" xr3:uid="{83947DC0-1626-46BD-9851-589E170C66A4}" name="Pin Connection Guideline" dataDxfId="49"/>
    <tableColumn id="3" xr3:uid="{BB6545E0-F95E-4066-BB3C-6909D7B528D3}" name="Addiontal Info" dataDxfId="48"/>
    <tableColumn id="4" xr3:uid="{AE7493ED-B3B2-4DE3-970C-2D57158D7179}" name="Note" dataDxfId="47"/>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D0AA6F-ED9D-4968-93BD-5DB4FA66E9F7}" name="tblDDR4TER" displayName="tblDDR4TER" ref="A17:D31" totalsRowShown="0" headerRowDxfId="46">
  <autoFilter ref="A17:D31" xr:uid="{32D0AA6F-ED9D-4968-93BD-5DB4FA66E9F7}"/>
  <tableColumns count="4">
    <tableColumn id="1" xr3:uid="{DBE3E06F-8FC2-4356-85A5-FA82AA013FAA}" name="Pin Name" dataDxfId="45"/>
    <tableColumn id="2" xr3:uid="{9D4410C5-D8D5-4F7D-A932-41D55541D866}" name="Pin Connection Guideline" dataDxfId="44"/>
    <tableColumn id="3" xr3:uid="{8D7F08FB-9392-4F46-A858-1F31D8DCFB0D}" name="Addiontal Info" dataDxfId="43"/>
    <tableColumn id="4" xr3:uid="{6A489DA3-C120-4B8F-90D1-609EFAB297ED}" name="Note" dataDxfId="4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61D345-DF26-4E25-86B5-5628ACBDF895}" name="tblLPDDR4" displayName="tblLPDDR4" ref="A2:D14" totalsRowShown="0" headerRowDxfId="41">
  <autoFilter ref="A2:D14" xr:uid="{0259172F-33D2-4DF3-A094-E6B5B1160BF7}"/>
  <tableColumns count="4">
    <tableColumn id="1" xr3:uid="{D50859B3-0F00-49C5-A022-D35E7FB58277}" name="Pin Name" dataDxfId="40"/>
    <tableColumn id="2" xr3:uid="{1224823B-97E5-47F6-A0CF-541E2EC99369}" name="Pin Connection Guideline" dataDxfId="39"/>
    <tableColumn id="3" xr3:uid="{A9DC696A-4A03-4AD2-9FF8-D35B0DFE9D96}" name="Addiontal Info" dataDxfId="38"/>
    <tableColumn id="4" xr3:uid="{35F07B9A-D6CE-43CB-ACB7-A8679A849117}" name="Note" dataDxfId="3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7D65F0B-E95B-4843-8EAA-E59E65C913E2}" name="tblLPDDR4TER" displayName="tblLPDDR4TER" ref="A17:D29" totalsRowShown="0" headerRowDxfId="36">
  <autoFilter ref="A17:D29" xr:uid="{E7D65F0B-E95B-4843-8EAA-E59E65C913E2}"/>
  <tableColumns count="4">
    <tableColumn id="1" xr3:uid="{72BA9A76-745D-4203-9AF7-B7811F04C1A5}" name="Pin Name" dataDxfId="35"/>
    <tableColumn id="2" xr3:uid="{4F5405A4-16D2-4CC7-BA85-A84A1803217D}" name="Pin Connection Guideline" dataDxfId="34"/>
    <tableColumn id="3" xr3:uid="{FB6CA1BC-6CD2-466B-A9F5-9D1A64ABCF29}" name="Addiontal Info" dataDxfId="33"/>
    <tableColumn id="4" xr3:uid="{E7431E52-10C9-4942-B365-66C38CE7B782}" name="Note" dataDxfId="3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EE58AE6-1F8E-44DD-B0F2-6F96028A8A3C}" name="tblDDR5" displayName="tblDDR5" ref="A2:D16" totalsRowShown="0" headerRowDxfId="31">
  <autoFilter ref="A2:D16" xr:uid="{0259172F-33D2-4DF3-A094-E6B5B1160BF7}"/>
  <tableColumns count="4">
    <tableColumn id="1" xr3:uid="{5F422001-089A-43C9-B964-51BF84C1A062}" name="Pin Name" dataDxfId="30"/>
    <tableColumn id="2" xr3:uid="{7426B5A4-38DA-4B6C-80A7-746075B7514F}" name="Pin Connection Guideline" dataDxfId="29"/>
    <tableColumn id="3" xr3:uid="{759CDDC1-DD1E-4DC9-84F1-C9CF66AF0D81}" name="Addiontal Info" dataDxfId="28"/>
    <tableColumn id="4" xr3:uid="{7263D388-E9EB-4DD6-B1FA-6312E4FC8EC0}" name="Note" dataDxfId="2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F199320F-D533-46B6-913E-3FD427CEA653}" name="tblDDR5TER" displayName="tblDDR5TER" ref="A19:D34" totalsRowShown="0" headerRowDxfId="26">
  <autoFilter ref="A19:D34" xr:uid="{F199320F-D533-46B6-913E-3FD427CEA653}"/>
  <tableColumns count="4">
    <tableColumn id="1" xr3:uid="{EFC380D4-2557-47DF-BF40-FFF76405AE0F}" name="Pin Name" dataDxfId="25"/>
    <tableColumn id="2" xr3:uid="{04FCCB8B-1E61-4969-AFE4-69537E353178}" name="Pin Connection Guideline" dataDxfId="24"/>
    <tableColumn id="3" xr3:uid="{C957B33F-488C-4157-96AD-38A6D84AB3DE}" name="Addiontal Info" dataDxfId="23"/>
    <tableColumn id="4" xr3:uid="{4671A61B-6546-4534-9542-14F4ED286D93}" name="Note" dataDxfId="2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965BE24-55F4-469B-859B-CD34C08DB4F6}" name="tblLPDDR5" displayName="tblLPDDR5" ref="A2:D15" totalsRowShown="0" headerRowDxfId="21">
  <autoFilter ref="A2:D15" xr:uid="{0259172F-33D2-4DF3-A094-E6B5B1160BF7}"/>
  <tableColumns count="4">
    <tableColumn id="1" xr3:uid="{6B25252B-6D52-4052-A83A-88778DE7B129}" name="Pin Name" dataDxfId="20"/>
    <tableColumn id="2" xr3:uid="{A4CF1ABE-34AC-4971-A2EF-A2D4334DF11C}" name="Pin Connection Guideline" dataDxfId="19"/>
    <tableColumn id="3" xr3:uid="{F608AF27-6AC8-4CE3-9358-E1E73793ADCB}" name="Addiontal Info" dataDxfId="18"/>
    <tableColumn id="4" xr3:uid="{6985F59C-C08E-4C24-9D83-7333D7CA7B98}" name="Note" dataDxfId="1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3B483E82-D272-4506-80E5-B02C2C603FB0}" name="tblLPDDR5TER" displayName="tblLPDDR5TER" ref="A18:D30" totalsRowShown="0" headerRowDxfId="16">
  <autoFilter ref="A18:D30" xr:uid="{3B483E82-D272-4506-80E5-B02C2C603FB0}"/>
  <tableColumns count="4">
    <tableColumn id="1" xr3:uid="{4F26F64C-4055-4E75-900D-8C4087478048}" name="Pin Name" dataDxfId="15"/>
    <tableColumn id="2" xr3:uid="{39037A87-4CBC-42AC-B053-ACE1B0BCBA00}" name="Pin Connection Guideline" dataDxfId="14"/>
    <tableColumn id="3" xr3:uid="{7AD3185E-1F59-483F-A12A-1310EA12A660}" name="Addiontal Info" dataDxfId="13"/>
    <tableColumn id="4" xr3:uid="{FB6454C2-0A0B-418E-A9FB-B0B4237CB873}" name="Note" dataDxfId="1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162447C-1404-4D43-B704-997DCBF96FDD}" name="tblQDRIV" displayName="tblQDRIV" ref="A1:D41" totalsRowShown="0" headerRowDxfId="11" dataDxfId="10">
  <autoFilter ref="A1:D41" xr:uid="{3562128B-B7D3-4540-969B-4B06CDAC4BE4}"/>
  <tableColumns count="4">
    <tableColumn id="1" xr3:uid="{16FDC2B3-8027-4A16-8FD8-F659A650AF30}" name="Pin Name" dataDxfId="9"/>
    <tableColumn id="2" xr3:uid="{AA428415-D8E4-439D-B5F4-FA02CCDE38A1}" name="Pin Connection Guideline" dataDxfId="8"/>
    <tableColumn id="3" xr3:uid="{5169CA4D-635D-44F4-A82A-6F51DD1F2152}" name="Addiontal Info" dataDxfId="7"/>
    <tableColumn id="4" xr3:uid="{4DDCF41E-AA8E-4071-BE3B-571702954119}" name="Note" dataDxfId="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C85BDB4-391A-48AA-A970-6B8798DE0A2A}" name="tblDNUNC" displayName="tblDNUNC" ref="A3:D5" totalsRowShown="0" headerRowDxfId="5" dataDxfId="4">
  <autoFilter ref="A3:D5" xr:uid="{2C85BDB4-391A-48AA-A970-6B8798DE0A2A}"/>
  <tableColumns count="4">
    <tableColumn id="1" xr3:uid="{8004A970-C596-4F74-BDCB-C711DD4C4643}" name="Pin Name" dataDxfId="3"/>
    <tableColumn id="2" xr3:uid="{55E96555-C77E-4F90-90EF-1ADA7D1BB21F}" name="pin type" dataDxfId="2"/>
    <tableColumn id="3" xr3:uid="{05711BC4-B12D-407C-B1F3-3C7B6EF250A2}" name="Addiontal Info" dataDxfId="1"/>
    <tableColumn id="4" xr3:uid="{B9E7F1D7-80EE-43C2-9680-51803E44292C}" name="Pin Connection Guideline"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11.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2.emf"/></Relationships>
</file>

<file path=xl/worksheets/_rels/sheet3.xml.rels><?xml version="1.0" encoding="UTF-8" standalone="yes"?>
<Relationships xmlns="http://schemas.openxmlformats.org/package/2006/relationships"><Relationship Id="rId13" Type="http://schemas.openxmlformats.org/officeDocument/2006/relationships/image" Target="../media/image17.emf"/><Relationship Id="rId18" Type="http://schemas.openxmlformats.org/officeDocument/2006/relationships/table" Target="../tables/table3.xml"/><Relationship Id="rId26" Type="http://schemas.openxmlformats.org/officeDocument/2006/relationships/table" Target="../tables/table11.xml"/><Relationship Id="rId39" Type="http://schemas.openxmlformats.org/officeDocument/2006/relationships/table" Target="../tables/table24.xml"/><Relationship Id="rId21" Type="http://schemas.openxmlformats.org/officeDocument/2006/relationships/table" Target="../tables/table6.xml"/><Relationship Id="rId34" Type="http://schemas.openxmlformats.org/officeDocument/2006/relationships/table" Target="../tables/table19.xml"/><Relationship Id="rId7" Type="http://schemas.openxmlformats.org/officeDocument/2006/relationships/printerSettings" Target="../printerSettings/printerSettings3.bin"/><Relationship Id="rId12" Type="http://schemas.openxmlformats.org/officeDocument/2006/relationships/control" Target="../activeX/activeX6.xml"/><Relationship Id="rId17" Type="http://schemas.openxmlformats.org/officeDocument/2006/relationships/table" Target="../tables/table2.xml"/><Relationship Id="rId25" Type="http://schemas.openxmlformats.org/officeDocument/2006/relationships/table" Target="../tables/table10.xml"/><Relationship Id="rId33" Type="http://schemas.openxmlformats.org/officeDocument/2006/relationships/table" Target="../tables/table18.xml"/><Relationship Id="rId38" Type="http://schemas.openxmlformats.org/officeDocument/2006/relationships/table" Target="../tables/table23.xml"/><Relationship Id="rId2" Type="http://schemas.openxmlformats.org/officeDocument/2006/relationships/hyperlink" Target="https://www.intel.com/content/www/us/en/docs/programmable/817231/current/overview-of-the-fpgas-and-socs.html" TargetMode="External"/><Relationship Id="rId16" Type="http://schemas.openxmlformats.org/officeDocument/2006/relationships/table" Target="../tables/table1.xml"/><Relationship Id="rId20" Type="http://schemas.openxmlformats.org/officeDocument/2006/relationships/table" Target="../tables/table5.xml"/><Relationship Id="rId29" Type="http://schemas.openxmlformats.org/officeDocument/2006/relationships/table" Target="../tables/table14.xml"/><Relationship Id="rId1" Type="http://schemas.openxmlformats.org/officeDocument/2006/relationships/hyperlink" Target="https://www.intel.com/content/www/us/en/docs/programmable/846812/current/pin-connection-guidelines-fpgas-and-socs.html" TargetMode="External"/><Relationship Id="rId6" Type="http://schemas.openxmlformats.org/officeDocument/2006/relationships/hyperlink" Target="https://www.intel.com/content/www/us/en/docs/programmable/847921/25-1/clocking-and-pll-overview.html" TargetMode="External"/><Relationship Id="rId11" Type="http://schemas.openxmlformats.org/officeDocument/2006/relationships/image" Target="../media/image16.emf"/><Relationship Id="rId24" Type="http://schemas.openxmlformats.org/officeDocument/2006/relationships/table" Target="../tables/table9.xml"/><Relationship Id="rId32" Type="http://schemas.openxmlformats.org/officeDocument/2006/relationships/table" Target="../tables/table17.xml"/><Relationship Id="rId37" Type="http://schemas.openxmlformats.org/officeDocument/2006/relationships/table" Target="../tables/table22.xml"/><Relationship Id="rId40" Type="http://schemas.openxmlformats.org/officeDocument/2006/relationships/table" Target="../tables/table25.xml"/><Relationship Id="rId5" Type="http://schemas.openxmlformats.org/officeDocument/2006/relationships/hyperlink" Target="https://www.intel.com/content/www/us/en/docs/programmable/847422/25-1/device-configuration-user-guide-fpgas.html" TargetMode="External"/><Relationship Id="rId15" Type="http://schemas.openxmlformats.org/officeDocument/2006/relationships/image" Target="../media/image18.emf"/><Relationship Id="rId23" Type="http://schemas.openxmlformats.org/officeDocument/2006/relationships/table" Target="../tables/table8.xml"/><Relationship Id="rId28" Type="http://schemas.openxmlformats.org/officeDocument/2006/relationships/table" Target="../tables/table13.xml"/><Relationship Id="rId36" Type="http://schemas.openxmlformats.org/officeDocument/2006/relationships/table" Target="../tables/table21.xml"/><Relationship Id="rId10" Type="http://schemas.openxmlformats.org/officeDocument/2006/relationships/control" Target="../activeX/activeX5.xml"/><Relationship Id="rId19" Type="http://schemas.openxmlformats.org/officeDocument/2006/relationships/table" Target="../tables/table4.xml"/><Relationship Id="rId31" Type="http://schemas.openxmlformats.org/officeDocument/2006/relationships/table" Target="../tables/table16.xml"/><Relationship Id="rId4" Type="http://schemas.openxmlformats.org/officeDocument/2006/relationships/hyperlink" Target="https://www.intel.com/content/www/us/en/docs/programmable/846855/current/power-management-overview.html" TargetMode="External"/><Relationship Id="rId9" Type="http://schemas.openxmlformats.org/officeDocument/2006/relationships/vmlDrawing" Target="../drawings/vmlDrawing2.vml"/><Relationship Id="rId14" Type="http://schemas.openxmlformats.org/officeDocument/2006/relationships/control" Target="../activeX/activeX7.xml"/><Relationship Id="rId22" Type="http://schemas.openxmlformats.org/officeDocument/2006/relationships/table" Target="../tables/table7.xml"/><Relationship Id="rId27" Type="http://schemas.openxmlformats.org/officeDocument/2006/relationships/table" Target="../tables/table12.xml"/><Relationship Id="rId30" Type="http://schemas.openxmlformats.org/officeDocument/2006/relationships/table" Target="../tables/table15.xml"/><Relationship Id="rId35" Type="http://schemas.openxmlformats.org/officeDocument/2006/relationships/table" Target="../tables/table20.xml"/><Relationship Id="rId8" Type="http://schemas.openxmlformats.org/officeDocument/2006/relationships/drawing" Target="../drawings/drawing3.xml"/><Relationship Id="rId3" Type="http://schemas.openxmlformats.org/officeDocument/2006/relationships/hyperlink" Target="https://www.intel.com/content/www/us/en/docs/programmable/848370/current.html"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7.bin"/><Relationship Id="rId4" Type="http://schemas.openxmlformats.org/officeDocument/2006/relationships/table" Target="../tables/table2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0.bin"/><Relationship Id="rId5" Type="http://schemas.openxmlformats.org/officeDocument/2006/relationships/table" Target="../tables/table37.xml"/><Relationship Id="rId4" Type="http://schemas.openxmlformats.org/officeDocument/2006/relationships/table" Target="../tables/table3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2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F3D72-1BF0-4A4A-8241-B97B97D15D91}">
  <sheetPr codeName="Sheet27">
    <tabColor rgb="FF0070C0"/>
  </sheetPr>
  <dimension ref="A1:Q29"/>
  <sheetViews>
    <sheetView showGridLines="0" zoomScale="130" zoomScaleNormal="130" workbookViewId="0">
      <selection activeCell="A7" sqref="A7:Q7"/>
    </sheetView>
  </sheetViews>
  <sheetFormatPr defaultColWidth="8.81640625" defaultRowHeight="13.5"/>
  <cols>
    <col min="1" max="1" width="11.1796875" style="73" customWidth="1"/>
    <col min="2" max="16" width="8.81640625" style="73"/>
    <col min="17" max="17" width="9.453125" style="73" customWidth="1"/>
    <col min="18" max="16384" width="8.81640625" style="73"/>
  </cols>
  <sheetData>
    <row r="1" spans="1:17" ht="42.65" customHeight="1">
      <c r="A1" s="72"/>
      <c r="B1" s="239" t="s">
        <v>922</v>
      </c>
      <c r="C1" s="239"/>
      <c r="D1" s="239"/>
      <c r="E1" s="239"/>
      <c r="F1" s="239"/>
      <c r="G1" s="239"/>
      <c r="H1" s="239"/>
      <c r="I1" s="239"/>
      <c r="J1" s="239"/>
      <c r="K1" s="239"/>
      <c r="L1" s="239"/>
      <c r="M1" s="239"/>
      <c r="N1" s="239"/>
      <c r="O1" s="239"/>
      <c r="P1" s="239"/>
      <c r="Q1" s="239"/>
    </row>
    <row r="2" spans="1:17" ht="16" customHeight="1">
      <c r="A2" s="74"/>
      <c r="B2" s="240" t="s">
        <v>1496</v>
      </c>
      <c r="C2" s="240"/>
      <c r="D2" s="240"/>
      <c r="E2" s="240"/>
      <c r="F2" s="240"/>
      <c r="G2" s="240"/>
      <c r="H2" s="240"/>
      <c r="I2" s="240"/>
      <c r="J2" s="240"/>
      <c r="K2" s="240"/>
      <c r="L2" s="240"/>
      <c r="M2" s="240"/>
      <c r="N2" s="240"/>
      <c r="O2" s="240"/>
      <c r="P2" s="240"/>
      <c r="Q2" s="240"/>
    </row>
    <row r="3" spans="1:17">
      <c r="A3" s="75"/>
    </row>
    <row r="4" spans="1:17" ht="20.149999999999999" customHeight="1">
      <c r="A4" s="227" t="s">
        <v>871</v>
      </c>
      <c r="B4" s="228"/>
      <c r="C4" s="228"/>
      <c r="D4" s="228"/>
      <c r="E4" s="228"/>
      <c r="F4" s="228"/>
      <c r="G4" s="228"/>
      <c r="H4" s="228"/>
      <c r="I4" s="228"/>
      <c r="J4" s="228"/>
      <c r="K4" s="228"/>
      <c r="L4" s="228"/>
      <c r="M4" s="228"/>
      <c r="N4" s="228"/>
      <c r="O4" s="228"/>
      <c r="P4" s="228"/>
      <c r="Q4" s="229"/>
    </row>
    <row r="5" spans="1:17" ht="30" customHeight="1">
      <c r="A5" s="244" t="s">
        <v>920</v>
      </c>
      <c r="B5" s="245"/>
      <c r="C5" s="245"/>
      <c r="D5" s="245"/>
      <c r="E5" s="245"/>
      <c r="F5" s="245"/>
      <c r="G5" s="245"/>
      <c r="H5" s="245"/>
      <c r="I5" s="245"/>
      <c r="J5" s="245"/>
      <c r="K5" s="245"/>
      <c r="L5" s="245"/>
      <c r="M5" s="245"/>
      <c r="N5" s="245"/>
      <c r="O5" s="245"/>
      <c r="P5" s="245"/>
      <c r="Q5" s="246"/>
    </row>
    <row r="6" spans="1:17" ht="16" customHeight="1">
      <c r="A6" s="247" t="s">
        <v>872</v>
      </c>
      <c r="B6" s="248"/>
      <c r="C6" s="248"/>
      <c r="D6" s="248"/>
      <c r="E6" s="248"/>
      <c r="F6" s="248"/>
      <c r="G6" s="248"/>
      <c r="H6" s="248"/>
      <c r="I6" s="248"/>
      <c r="J6" s="248"/>
      <c r="K6" s="248"/>
      <c r="L6" s="248"/>
      <c r="M6" s="248"/>
      <c r="N6" s="248"/>
      <c r="O6" s="248"/>
      <c r="P6" s="248"/>
      <c r="Q6" s="249"/>
    </row>
    <row r="7" spans="1:17" ht="354.65" customHeight="1">
      <c r="A7" s="250"/>
      <c r="B7" s="251"/>
      <c r="C7" s="251"/>
      <c r="D7" s="251"/>
      <c r="E7" s="251"/>
      <c r="F7" s="251"/>
      <c r="G7" s="251"/>
      <c r="H7" s="251"/>
      <c r="I7" s="251"/>
      <c r="J7" s="251"/>
      <c r="K7" s="251"/>
      <c r="L7" s="251"/>
      <c r="M7" s="251"/>
      <c r="N7" s="251"/>
      <c r="O7" s="251"/>
      <c r="P7" s="251"/>
      <c r="Q7" s="252"/>
    </row>
    <row r="8" spans="1:17" ht="16" customHeight="1">
      <c r="A8" s="247" t="s">
        <v>873</v>
      </c>
      <c r="B8" s="248"/>
      <c r="C8" s="248"/>
      <c r="D8" s="248"/>
      <c r="E8" s="248"/>
      <c r="F8" s="248"/>
      <c r="G8" s="248"/>
      <c r="H8" s="248"/>
      <c r="I8" s="248"/>
      <c r="J8" s="248"/>
      <c r="K8" s="248"/>
      <c r="L8" s="248"/>
      <c r="M8" s="248"/>
      <c r="N8" s="248"/>
      <c r="O8" s="248"/>
      <c r="P8" s="248"/>
      <c r="Q8" s="249"/>
    </row>
    <row r="9" spans="1:17" ht="16" customHeight="1">
      <c r="A9" s="247" t="s">
        <v>919</v>
      </c>
      <c r="B9" s="248"/>
      <c r="C9" s="248"/>
      <c r="D9" s="248"/>
      <c r="E9" s="248"/>
      <c r="F9" s="248"/>
      <c r="G9" s="248"/>
      <c r="H9" s="248"/>
      <c r="I9" s="248"/>
      <c r="J9" s="248"/>
      <c r="K9" s="248"/>
      <c r="L9" s="248"/>
      <c r="M9" s="248"/>
      <c r="N9" s="248"/>
      <c r="O9" s="248"/>
      <c r="P9" s="248"/>
      <c r="Q9" s="249"/>
    </row>
    <row r="10" spans="1:17" ht="88" customHeight="1">
      <c r="A10" s="218"/>
      <c r="B10" s="219"/>
      <c r="C10" s="219"/>
      <c r="D10" s="219"/>
      <c r="E10" s="219"/>
      <c r="F10" s="219"/>
      <c r="G10" s="219"/>
      <c r="H10" s="219"/>
      <c r="I10" s="219"/>
      <c r="J10" s="219"/>
      <c r="K10" s="219"/>
      <c r="L10" s="219"/>
      <c r="M10" s="219"/>
      <c r="N10" s="219"/>
      <c r="O10" s="219"/>
      <c r="P10" s="219"/>
      <c r="Q10" s="220"/>
    </row>
    <row r="11" spans="1:17" ht="20.149999999999999" customHeight="1">
      <c r="A11" s="227" t="s">
        <v>874</v>
      </c>
      <c r="B11" s="228"/>
      <c r="C11" s="228"/>
      <c r="D11" s="228"/>
      <c r="E11" s="228"/>
      <c r="F11" s="228"/>
      <c r="G11" s="228"/>
      <c r="H11" s="228"/>
      <c r="I11" s="228"/>
      <c r="J11" s="228"/>
      <c r="K11" s="228"/>
      <c r="L11" s="228"/>
      <c r="M11" s="228"/>
      <c r="N11" s="228"/>
      <c r="O11" s="228"/>
      <c r="P11" s="228"/>
      <c r="Q11" s="229"/>
    </row>
    <row r="12" spans="1:17" ht="16" customHeight="1">
      <c r="A12" s="241" t="s">
        <v>741</v>
      </c>
      <c r="B12" s="242"/>
      <c r="C12" s="242"/>
      <c r="D12" s="242"/>
      <c r="E12" s="242"/>
      <c r="F12" s="242"/>
      <c r="G12" s="242"/>
      <c r="H12" s="242"/>
      <c r="I12" s="242"/>
      <c r="J12" s="242"/>
      <c r="K12" s="242"/>
      <c r="L12" s="242"/>
      <c r="M12" s="242"/>
      <c r="N12" s="242"/>
      <c r="O12" s="242"/>
      <c r="P12" s="242"/>
      <c r="Q12" s="243"/>
    </row>
    <row r="13" spans="1:17" ht="16" customHeight="1">
      <c r="A13" s="241" t="s">
        <v>875</v>
      </c>
      <c r="B13" s="242"/>
      <c r="C13" s="242"/>
      <c r="D13" s="242"/>
      <c r="E13" s="242"/>
      <c r="F13" s="242"/>
      <c r="G13" s="242"/>
      <c r="H13" s="242"/>
      <c r="I13" s="242"/>
      <c r="J13" s="242"/>
      <c r="K13" s="242"/>
      <c r="L13" s="242"/>
      <c r="M13" s="242"/>
      <c r="N13" s="242"/>
      <c r="O13" s="242"/>
      <c r="P13" s="242"/>
      <c r="Q13" s="243"/>
    </row>
    <row r="14" spans="1:17" ht="30" customHeight="1">
      <c r="A14" s="221" t="s">
        <v>921</v>
      </c>
      <c r="B14" s="222"/>
      <c r="C14" s="222"/>
      <c r="D14" s="222"/>
      <c r="E14" s="222"/>
      <c r="F14" s="222"/>
      <c r="G14" s="222"/>
      <c r="H14" s="222"/>
      <c r="I14" s="222"/>
      <c r="J14" s="222"/>
      <c r="K14" s="222"/>
      <c r="L14" s="222"/>
      <c r="M14" s="222"/>
      <c r="N14" s="222"/>
      <c r="O14" s="222"/>
      <c r="P14" s="222"/>
      <c r="Q14" s="223"/>
    </row>
    <row r="15" spans="1:17" ht="377.15" customHeight="1">
      <c r="A15" s="224"/>
      <c r="B15" s="225"/>
      <c r="C15" s="225"/>
      <c r="D15" s="225"/>
      <c r="E15" s="225"/>
      <c r="F15" s="225"/>
      <c r="G15" s="225"/>
      <c r="H15" s="225"/>
      <c r="I15" s="225"/>
      <c r="J15" s="225"/>
      <c r="K15" s="225"/>
      <c r="L15" s="225"/>
      <c r="M15" s="225"/>
      <c r="N15" s="225"/>
      <c r="O15" s="225"/>
      <c r="P15" s="225"/>
      <c r="Q15" s="226"/>
    </row>
    <row r="16" spans="1:17" ht="16" customHeight="1">
      <c r="A16" s="241" t="s">
        <v>742</v>
      </c>
      <c r="B16" s="242"/>
      <c r="C16" s="242"/>
      <c r="D16" s="242"/>
      <c r="E16" s="242"/>
      <c r="F16" s="242"/>
      <c r="G16" s="242"/>
      <c r="H16" s="242"/>
      <c r="I16" s="242"/>
      <c r="J16" s="242"/>
      <c r="K16" s="242"/>
      <c r="L16" s="242"/>
      <c r="M16" s="242"/>
      <c r="N16" s="242"/>
      <c r="O16" s="242"/>
      <c r="P16" s="242"/>
      <c r="Q16" s="243"/>
    </row>
    <row r="17" spans="1:17" ht="30" customHeight="1">
      <c r="A17" s="221" t="s">
        <v>914</v>
      </c>
      <c r="B17" s="222"/>
      <c r="C17" s="222"/>
      <c r="D17" s="222"/>
      <c r="E17" s="222"/>
      <c r="F17" s="222"/>
      <c r="G17" s="222"/>
      <c r="H17" s="222"/>
      <c r="I17" s="222"/>
      <c r="J17" s="222"/>
      <c r="K17" s="222"/>
      <c r="L17" s="222"/>
      <c r="M17" s="222"/>
      <c r="N17" s="222"/>
      <c r="O17" s="222"/>
      <c r="P17" s="222"/>
      <c r="Q17" s="223"/>
    </row>
    <row r="18" spans="1:17" ht="15" customHeight="1">
      <c r="A18" s="221"/>
      <c r="B18" s="222"/>
      <c r="C18" s="222"/>
      <c r="D18" s="222"/>
      <c r="E18" s="222"/>
      <c r="F18" s="222"/>
      <c r="G18" s="222"/>
      <c r="H18" s="222"/>
      <c r="I18" s="222"/>
      <c r="J18" s="222"/>
      <c r="K18" s="222"/>
      <c r="L18" s="222"/>
      <c r="M18" s="222"/>
      <c r="N18" s="222"/>
      <c r="O18" s="222"/>
      <c r="P18" s="222"/>
      <c r="Q18" s="223"/>
    </row>
    <row r="19" spans="1:17" ht="20.149999999999999" customHeight="1">
      <c r="A19" s="227" t="s">
        <v>876</v>
      </c>
      <c r="B19" s="228"/>
      <c r="C19" s="228"/>
      <c r="D19" s="228"/>
      <c r="E19" s="228"/>
      <c r="F19" s="228"/>
      <c r="G19" s="228"/>
      <c r="H19" s="228"/>
      <c r="I19" s="228"/>
      <c r="J19" s="228"/>
      <c r="K19" s="228"/>
      <c r="L19" s="228"/>
      <c r="M19" s="228"/>
      <c r="N19" s="228"/>
      <c r="O19" s="228"/>
      <c r="P19" s="228"/>
      <c r="Q19" s="229"/>
    </row>
    <row r="20" spans="1:17" ht="16" customHeight="1">
      <c r="A20" s="230" t="s">
        <v>743</v>
      </c>
      <c r="B20" s="231"/>
      <c r="C20" s="231"/>
      <c r="D20" s="231"/>
      <c r="E20" s="231"/>
      <c r="F20" s="231"/>
      <c r="G20" s="231"/>
      <c r="H20" s="231"/>
      <c r="I20" s="231"/>
      <c r="J20" s="231"/>
      <c r="K20" s="231"/>
      <c r="L20" s="231"/>
      <c r="M20" s="231"/>
      <c r="N20" s="231"/>
      <c r="O20" s="231"/>
      <c r="P20" s="231"/>
      <c r="Q20" s="232"/>
    </row>
    <row r="21" spans="1:17" ht="16" customHeight="1">
      <c r="A21" s="233" t="s">
        <v>744</v>
      </c>
      <c r="B21" s="234"/>
      <c r="C21" s="234"/>
      <c r="D21" s="234"/>
      <c r="E21" s="234"/>
      <c r="F21" s="234"/>
      <c r="G21" s="234"/>
      <c r="H21" s="234"/>
      <c r="I21" s="234"/>
      <c r="J21" s="234"/>
      <c r="K21" s="234"/>
      <c r="L21" s="234"/>
      <c r="M21" s="234"/>
      <c r="N21" s="234"/>
      <c r="O21" s="234"/>
      <c r="P21" s="234"/>
      <c r="Q21" s="235"/>
    </row>
    <row r="22" spans="1:17" ht="16" customHeight="1">
      <c r="A22" s="233" t="s">
        <v>877</v>
      </c>
      <c r="B22" s="234"/>
      <c r="C22" s="234"/>
      <c r="D22" s="234"/>
      <c r="E22" s="234"/>
      <c r="F22" s="234"/>
      <c r="G22" s="234"/>
      <c r="H22" s="234"/>
      <c r="I22" s="234"/>
      <c r="J22" s="234"/>
      <c r="K22" s="234"/>
      <c r="L22" s="234"/>
      <c r="M22" s="234"/>
      <c r="N22" s="234"/>
      <c r="O22" s="234"/>
      <c r="P22" s="234"/>
      <c r="Q22" s="235"/>
    </row>
    <row r="23" spans="1:17" ht="257.5" customHeight="1">
      <c r="A23" s="224"/>
      <c r="B23" s="225"/>
      <c r="C23" s="225"/>
      <c r="D23" s="225"/>
      <c r="E23" s="225"/>
      <c r="F23" s="225"/>
      <c r="G23" s="225"/>
      <c r="H23" s="225"/>
      <c r="I23" s="225"/>
      <c r="J23" s="225"/>
      <c r="K23" s="225"/>
      <c r="L23" s="225"/>
      <c r="M23" s="225"/>
      <c r="N23" s="225"/>
      <c r="O23" s="225"/>
      <c r="P23" s="225"/>
      <c r="Q23" s="226"/>
    </row>
    <row r="24" spans="1:17" ht="16" customHeight="1">
      <c r="A24" s="233" t="s">
        <v>878</v>
      </c>
      <c r="B24" s="234"/>
      <c r="C24" s="234"/>
      <c r="D24" s="234"/>
      <c r="E24" s="234"/>
      <c r="F24" s="234"/>
      <c r="G24" s="234"/>
      <c r="H24" s="234"/>
      <c r="I24" s="234"/>
      <c r="J24" s="234"/>
      <c r="K24" s="234"/>
      <c r="L24" s="234"/>
      <c r="M24" s="234"/>
      <c r="N24" s="234"/>
      <c r="O24" s="234"/>
      <c r="P24" s="234"/>
      <c r="Q24" s="235"/>
    </row>
    <row r="25" spans="1:17" ht="16" customHeight="1">
      <c r="A25" s="233" t="s">
        <v>879</v>
      </c>
      <c r="B25" s="234"/>
      <c r="C25" s="234"/>
      <c r="D25" s="234"/>
      <c r="E25" s="234"/>
      <c r="F25" s="234"/>
      <c r="G25" s="234"/>
      <c r="H25" s="234"/>
      <c r="I25" s="234"/>
      <c r="J25" s="234"/>
      <c r="K25" s="234"/>
      <c r="L25" s="234"/>
      <c r="M25" s="234"/>
      <c r="N25" s="234"/>
      <c r="O25" s="234"/>
      <c r="P25" s="234"/>
      <c r="Q25" s="235"/>
    </row>
    <row r="26" spans="1:17" ht="16" customHeight="1">
      <c r="A26" s="76" t="s">
        <v>745</v>
      </c>
      <c r="B26" s="78"/>
      <c r="C26" s="78"/>
      <c r="D26" s="78"/>
      <c r="E26" s="78"/>
      <c r="F26" s="78"/>
      <c r="G26" s="78"/>
      <c r="H26" s="78"/>
      <c r="I26" s="78"/>
      <c r="J26" s="78"/>
      <c r="K26" s="78"/>
      <c r="L26" s="78"/>
      <c r="M26" s="78"/>
      <c r="N26" s="78"/>
      <c r="O26" s="78"/>
      <c r="P26" s="78"/>
      <c r="Q26" s="77"/>
    </row>
    <row r="27" spans="1:17" ht="234.65" customHeight="1">
      <c r="A27" s="224"/>
      <c r="B27" s="225"/>
      <c r="C27" s="225"/>
      <c r="D27" s="225"/>
      <c r="E27" s="225"/>
      <c r="F27" s="225"/>
      <c r="G27" s="225"/>
      <c r="H27" s="225"/>
      <c r="I27" s="225"/>
      <c r="J27" s="225"/>
      <c r="K27" s="225"/>
      <c r="L27" s="225"/>
      <c r="M27" s="225"/>
      <c r="N27" s="225"/>
      <c r="O27" s="225"/>
      <c r="P27" s="225"/>
      <c r="Q27" s="226"/>
    </row>
    <row r="28" spans="1:17" ht="30" customHeight="1">
      <c r="A28" s="221" t="s">
        <v>915</v>
      </c>
      <c r="B28" s="222"/>
      <c r="C28" s="222"/>
      <c r="D28" s="222"/>
      <c r="E28" s="222"/>
      <c r="F28" s="222"/>
      <c r="G28" s="222"/>
      <c r="H28" s="222"/>
      <c r="I28" s="222"/>
      <c r="J28" s="222"/>
      <c r="K28" s="222"/>
      <c r="L28" s="222"/>
      <c r="M28" s="222"/>
      <c r="N28" s="222"/>
      <c r="O28" s="222"/>
      <c r="P28" s="222"/>
      <c r="Q28" s="223"/>
    </row>
    <row r="29" spans="1:17" ht="119.5" customHeight="1">
      <c r="A29" s="236"/>
      <c r="B29" s="237"/>
      <c r="C29" s="237"/>
      <c r="D29" s="237"/>
      <c r="E29" s="237"/>
      <c r="F29" s="237"/>
      <c r="G29" s="237"/>
      <c r="H29" s="237"/>
      <c r="I29" s="237"/>
      <c r="J29" s="237"/>
      <c r="K29" s="237"/>
      <c r="L29" s="237"/>
      <c r="M29" s="237"/>
      <c r="N29" s="237"/>
      <c r="O29" s="237"/>
      <c r="P29" s="237"/>
      <c r="Q29" s="238"/>
    </row>
  </sheetData>
  <sheetProtection algorithmName="SHA-512" hashValue="Y5seaTotFm/efUCrQEhZRb1uyiN2ICQz6twGNy0vhUYxONheHXnh6eAmWkKGANAhqV8j7XmoGQI8bb/0t7a2/Q==" saltValue="dQp2AihFqlb1R0ZmS3JLrQ==" spinCount="100000" sheet="1" objects="1" scenarios="1" selectLockedCells="1" selectUnlockedCells="1"/>
  <mergeCells count="27">
    <mergeCell ref="A29:Q29"/>
    <mergeCell ref="B1:Q1"/>
    <mergeCell ref="B2:Q2"/>
    <mergeCell ref="A16:Q16"/>
    <mergeCell ref="A11:Q11"/>
    <mergeCell ref="A12:Q12"/>
    <mergeCell ref="A13:Q13"/>
    <mergeCell ref="A4:Q4"/>
    <mergeCell ref="A5:Q5"/>
    <mergeCell ref="A6:Q6"/>
    <mergeCell ref="A8:Q8"/>
    <mergeCell ref="A7:Q7"/>
    <mergeCell ref="A9:Q9"/>
    <mergeCell ref="A25:Q25"/>
    <mergeCell ref="A28:Q28"/>
    <mergeCell ref="A23:Q23"/>
    <mergeCell ref="A27:Q27"/>
    <mergeCell ref="A19:Q19"/>
    <mergeCell ref="A20:Q20"/>
    <mergeCell ref="A21:Q21"/>
    <mergeCell ref="A22:Q22"/>
    <mergeCell ref="A24:Q24"/>
    <mergeCell ref="A10:Q10"/>
    <mergeCell ref="A14:Q14"/>
    <mergeCell ref="A17:Q17"/>
    <mergeCell ref="A18:Q18"/>
    <mergeCell ref="A15:Q1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B3E31-FDB4-4A1F-B97F-F9C8C840115B}">
  <sheetPr codeName="Sheet16"/>
  <dimension ref="B2:P34"/>
  <sheetViews>
    <sheetView showGridLines="0" showRowColHeaders="0" topLeftCell="B2" zoomScale="48" zoomScaleNormal="85" workbookViewId="0">
      <selection activeCell="D23" sqref="D23"/>
    </sheetView>
  </sheetViews>
  <sheetFormatPr defaultColWidth="8.81640625" defaultRowHeight="13.5"/>
  <cols>
    <col min="1" max="1" width="2" style="152" customWidth="1"/>
    <col min="2" max="2" width="15.54296875" style="152" customWidth="1"/>
    <col min="3" max="3" width="41.81640625" style="152" customWidth="1"/>
    <col min="4" max="4" width="55.54296875" style="152" customWidth="1"/>
    <col min="5" max="5" width="2.81640625" style="152" customWidth="1"/>
    <col min="6" max="6" width="8.81640625" style="152" customWidth="1"/>
    <col min="7" max="15" width="8.81640625" style="152"/>
    <col min="16" max="16" width="8.81640625" style="152" customWidth="1"/>
    <col min="17" max="18" width="8.81640625" style="152"/>
    <col min="19" max="19" width="9.81640625" style="152" customWidth="1"/>
    <col min="20" max="16384" width="8.81640625" style="152"/>
  </cols>
  <sheetData>
    <row r="2" spans="2:4" ht="15.75" customHeight="1" thickBot="1"/>
    <row r="3" spans="2:4" ht="31" customHeight="1" thickTop="1">
      <c r="C3" s="255" t="s">
        <v>1</v>
      </c>
      <c r="D3" s="256"/>
    </row>
    <row r="4" spans="2:4" ht="31" customHeight="1" thickBot="1">
      <c r="C4" s="257"/>
      <c r="D4" s="258"/>
    </row>
    <row r="5" spans="2:4" ht="42" customHeight="1" thickBot="1">
      <c r="C5" s="261" t="s">
        <v>2</v>
      </c>
      <c r="D5" s="262"/>
    </row>
    <row r="6" spans="2:4" ht="30" customHeight="1" thickTop="1">
      <c r="C6" s="153" t="s">
        <v>3</v>
      </c>
      <c r="D6" s="154"/>
    </row>
    <row r="7" spans="2:4" ht="20.25" customHeight="1">
      <c r="B7" s="155"/>
      <c r="C7" s="156" t="s">
        <v>1503</v>
      </c>
      <c r="D7" s="156" t="s">
        <v>1503</v>
      </c>
    </row>
    <row r="8" spans="2:4" ht="20.25" customHeight="1">
      <c r="B8" s="157"/>
      <c r="C8" s="156" t="s">
        <v>1503</v>
      </c>
      <c r="D8" s="156" t="s">
        <v>1503</v>
      </c>
    </row>
    <row r="9" spans="2:4" ht="20.25" customHeight="1">
      <c r="B9" s="157"/>
      <c r="C9" s="156" t="s">
        <v>1503</v>
      </c>
      <c r="D9" s="156" t="s">
        <v>1503</v>
      </c>
    </row>
    <row r="10" spans="2:4" ht="20.25" customHeight="1">
      <c r="B10" s="157"/>
      <c r="C10" s="156" t="s">
        <v>1503</v>
      </c>
      <c r="D10" s="156" t="s">
        <v>1503</v>
      </c>
    </row>
    <row r="11" spans="2:4" ht="20.25" customHeight="1">
      <c r="B11" s="157"/>
      <c r="C11" s="156" t="s">
        <v>1503</v>
      </c>
      <c r="D11" s="156" t="s">
        <v>1503</v>
      </c>
    </row>
    <row r="12" spans="2:4" ht="20.25" customHeight="1">
      <c r="B12" s="157"/>
      <c r="C12" s="156" t="s">
        <v>1503</v>
      </c>
      <c r="D12" s="156" t="s">
        <v>1503</v>
      </c>
    </row>
    <row r="13" spans="2:4" ht="20.25" customHeight="1">
      <c r="B13" s="157"/>
      <c r="C13" s="156" t="s">
        <v>1503</v>
      </c>
      <c r="D13" s="156" t="s">
        <v>1503</v>
      </c>
    </row>
    <row r="14" spans="2:4" ht="20.25" customHeight="1">
      <c r="B14" s="157"/>
      <c r="C14" s="156" t="s">
        <v>1503</v>
      </c>
      <c r="D14" s="156" t="s">
        <v>1503</v>
      </c>
    </row>
    <row r="15" spans="2:4" ht="20.25" customHeight="1">
      <c r="B15" s="157"/>
      <c r="C15" s="259" t="s">
        <v>4</v>
      </c>
      <c r="D15" s="260"/>
    </row>
    <row r="16" spans="2:4" ht="20.25" customHeight="1">
      <c r="B16" s="157"/>
      <c r="C16" s="158"/>
      <c r="D16" s="159"/>
    </row>
    <row r="17" spans="2:16" ht="20.25" customHeight="1">
      <c r="B17" s="157"/>
      <c r="C17" s="158"/>
      <c r="D17" s="159"/>
      <c r="E17" s="160"/>
    </row>
    <row r="18" spans="2:16" ht="20.25" customHeight="1">
      <c r="B18" s="157"/>
      <c r="C18" s="158"/>
      <c r="D18" s="159"/>
    </row>
    <row r="19" spans="2:16" ht="20.25" customHeight="1">
      <c r="B19" s="157"/>
      <c r="C19" s="158"/>
      <c r="D19" s="159"/>
    </row>
    <row r="20" spans="2:16" ht="20.25" customHeight="1">
      <c r="B20" s="157"/>
      <c r="C20" s="158"/>
      <c r="D20" s="159"/>
    </row>
    <row r="21" spans="2:16" ht="20.25" customHeight="1">
      <c r="B21" s="157"/>
      <c r="C21" s="158"/>
      <c r="D21" s="159"/>
    </row>
    <row r="22" spans="2:16" ht="20.25" customHeight="1" thickBot="1">
      <c r="B22" s="157"/>
      <c r="C22" s="161"/>
      <c r="D22" s="162"/>
    </row>
    <row r="23" spans="2:16" ht="30" customHeight="1" thickTop="1">
      <c r="C23" s="163" t="s">
        <v>5</v>
      </c>
      <c r="D23" s="213" t="s">
        <v>943</v>
      </c>
      <c r="G23" s="164"/>
      <c r="H23" s="165"/>
      <c r="I23" s="165"/>
      <c r="J23" s="165"/>
      <c r="K23" s="165"/>
      <c r="L23" s="165"/>
      <c r="M23" s="165"/>
      <c r="N23" s="165"/>
      <c r="O23" s="165"/>
      <c r="P23" s="165"/>
    </row>
    <row r="24" spans="2:16" ht="20.25" customHeight="1">
      <c r="B24" s="166"/>
      <c r="C24" s="263" t="s">
        <v>880</v>
      </c>
      <c r="D24" s="264"/>
      <c r="G24" s="165"/>
      <c r="H24" s="165"/>
      <c r="I24" s="165"/>
      <c r="J24" s="165"/>
      <c r="K24" s="165"/>
      <c r="L24" s="165"/>
      <c r="M24" s="165"/>
      <c r="N24" s="165"/>
      <c r="O24" s="165"/>
      <c r="P24" s="165"/>
    </row>
    <row r="25" spans="2:16" ht="20.25" customHeight="1">
      <c r="C25" s="167" t="s">
        <v>6</v>
      </c>
      <c r="D25" s="168">
        <f>IF($D$23&lt;&gt;"",VLOOKUP($D$23,tblOPNAgx[#Data],21,FALSE),"No device selected")</f>
        <v>135110</v>
      </c>
    </row>
    <row r="26" spans="2:16" ht="20.25" hidden="1" customHeight="1">
      <c r="C26" s="167" t="s">
        <v>7</v>
      </c>
      <c r="D26" s="168" t="str">
        <f>IF($D$23&lt;&gt;"",VLOOKUP($D$23,tblOPNAgx[#Data],5,FALSE),"No device selected")</f>
        <v>B</v>
      </c>
    </row>
    <row r="27" spans="2:16" ht="20.25" customHeight="1">
      <c r="C27" s="167" t="s">
        <v>8</v>
      </c>
      <c r="D27" s="168">
        <f>IF($D$23&lt;&gt;"",VLOOKUP($D$23,tblOPNAgx[#Data],20,FALSE),"No device selected")</f>
        <v>184</v>
      </c>
    </row>
    <row r="28" spans="2:16" ht="20.25" customHeight="1">
      <c r="C28" s="167" t="s">
        <v>9</v>
      </c>
      <c r="D28" s="168">
        <f>IF($D$23&lt;&gt;"",VLOOKUP($D$23,tblOPNAgx[#Data],18,FALSE),"No device selected")</f>
        <v>353</v>
      </c>
    </row>
    <row r="29" spans="2:16" ht="20.25" customHeight="1">
      <c r="C29" s="167" t="s">
        <v>10</v>
      </c>
      <c r="D29" s="168">
        <f>IF($D$23&lt;&gt;"",VLOOKUP($D$23,tblOPNAgx[#Data],22,FALSE),"No device selected")</f>
        <v>254</v>
      </c>
    </row>
    <row r="30" spans="2:16" ht="20.25" customHeight="1">
      <c r="C30" s="167" t="s">
        <v>11</v>
      </c>
      <c r="D30" s="168" t="str">
        <f>IF($D$23&lt;&gt;"",VLOOKUP($D$23,tblOPNAgx[#Data],11,FALSE),"No device selected")</f>
        <v>INDUSTRIAL</v>
      </c>
    </row>
    <row r="31" spans="2:16" ht="20.25" customHeight="1">
      <c r="C31" s="167" t="s">
        <v>12</v>
      </c>
      <c r="D31" s="168" t="str">
        <f>IF(var_OPN&lt;&gt;"", IF(VLOOKUP(var_OPN, OPN_Agilex!A:L,12,FALSE)="VID","Yes","No"),MSG!D11)</f>
        <v>No</v>
      </c>
    </row>
    <row r="32" spans="2:16" ht="20.25" customHeight="1" thickBot="1">
      <c r="C32" s="167" t="s">
        <v>13</v>
      </c>
      <c r="D32" s="168" t="str">
        <f>IF($D$23&lt;&gt;"",IF(VLOOKUP($D$23,tblOPNAgx[#Data],15,FALSE),"Yes","No"),"No device selected")</f>
        <v>Yes</v>
      </c>
    </row>
    <row r="33" spans="3:4" ht="35.25" customHeight="1" thickTop="1" thickBot="1">
      <c r="C33" s="253"/>
      <c r="D33" s="254"/>
    </row>
    <row r="34" spans="3:4" ht="14" thickTop="1"/>
  </sheetData>
  <sheetProtection algorithmName="SHA-512" hashValue="3MvQYXF3uqypmZVGfF1Wah+0Ohlc5LVSlEWLUNZA09aYQTvUCHl1X8ixUkw/64JSyl+fcOJOgu2qSPvFtpPNAQ==" saltValue="7xq5MpcR3fR9T7l9dW+DOQ==" spinCount="100000" sheet="1" selectLockedCells="1"/>
  <mergeCells count="5">
    <mergeCell ref="C33:D33"/>
    <mergeCell ref="C3:D4"/>
    <mergeCell ref="C15:D15"/>
    <mergeCell ref="C5:D5"/>
    <mergeCell ref="C24:D24"/>
  </mergeCells>
  <phoneticPr fontId="18" type="noConversion"/>
  <conditionalFormatting sqref="C15">
    <cfRule type="duplicateValues" dxfId="268" priority="3"/>
  </conditionalFormatting>
  <dataValidations count="3">
    <dataValidation type="list" allowBlank="1" showInputMessage="1" showErrorMessage="1" sqref="D23 D7:D14" xr:uid="{7A2E8654-38DA-4160-BD7A-DD748E9CDE1C}">
      <formula1>_xlfn.ANCHORARRAY(INDIRECT(VLOOKUP($C7,vltDST,2,FALSE)))</formula1>
    </dataValidation>
    <dataValidation type="list" allowBlank="1" showInputMessage="1" showErrorMessage="1" sqref="C7:C14" xr:uid="{AB22316D-9DF0-4C9B-81F8-E63F0E8B550E}">
      <formula1>lstDSTFlt</formula1>
    </dataValidation>
    <dataValidation type="list" allowBlank="1" showInputMessage="1" showErrorMessage="1" sqref="E17" xr:uid="{6C736181-08E6-4A92-9A4A-1D56CE8C2E2C}">
      <formula1>_xlfn.ANCHORARRAY(INDIRECT(VLOOKUP($C23,vltDST,2,FALSE)))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96" r:id="rId4" name="CommandButton3">
          <controlPr locked="0" defaultSize="0" autoFill="0" autoLine="0" altText="" r:id="rId5">
            <anchor moveWithCells="1">
              <from>
                <xdr:col>2</xdr:col>
                <xdr:colOff>546100</xdr:colOff>
                <xdr:row>32</xdr:row>
                <xdr:rowOff>76200</xdr:rowOff>
              </from>
              <to>
                <xdr:col>3</xdr:col>
                <xdr:colOff>120650</xdr:colOff>
                <xdr:row>32</xdr:row>
                <xdr:rowOff>387350</xdr:rowOff>
              </to>
            </anchor>
          </controlPr>
        </control>
      </mc:Choice>
      <mc:Fallback>
        <control shapeId="3096" r:id="rId4" name="CommandButton3"/>
      </mc:Fallback>
    </mc:AlternateContent>
    <mc:AlternateContent xmlns:mc="http://schemas.openxmlformats.org/markup-compatibility/2006">
      <mc:Choice Requires="x14">
        <control shapeId="3095" r:id="rId6" name="CommandButton2">
          <controlPr locked="0" defaultSize="0" autoFill="0" autoLine="0" altText="" r:id="rId7">
            <anchor moveWithCells="1">
              <from>
                <xdr:col>3</xdr:col>
                <xdr:colOff>831850</xdr:colOff>
                <xdr:row>32</xdr:row>
                <xdr:rowOff>76200</xdr:rowOff>
              </from>
              <to>
                <xdr:col>3</xdr:col>
                <xdr:colOff>3048000</xdr:colOff>
                <xdr:row>32</xdr:row>
                <xdr:rowOff>349250</xdr:rowOff>
              </to>
            </anchor>
          </controlPr>
        </control>
      </mc:Choice>
      <mc:Fallback>
        <control shapeId="3095" r:id="rId6" name="CommandButton2"/>
      </mc:Fallback>
    </mc:AlternateContent>
    <mc:AlternateContent xmlns:mc="http://schemas.openxmlformats.org/markup-compatibility/2006">
      <mc:Choice Requires="x14">
        <control shapeId="3092" r:id="rId8" name="tbDSTMsg">
          <controlPr locked="0" defaultSize="0" autoLine="0" autoPict="0" r:id="rId9">
            <anchor moveWithCells="1">
              <from>
                <xdr:col>2</xdr:col>
                <xdr:colOff>107950</xdr:colOff>
                <xdr:row>15</xdr:row>
                <xdr:rowOff>25400</xdr:rowOff>
              </from>
              <to>
                <xdr:col>3</xdr:col>
                <xdr:colOff>3619500</xdr:colOff>
                <xdr:row>21</xdr:row>
                <xdr:rowOff>165100</xdr:rowOff>
              </to>
            </anchor>
          </controlPr>
        </control>
      </mc:Choice>
      <mc:Fallback>
        <control shapeId="3092" r:id="rId8" name="tbDSTMsg"/>
      </mc:Fallback>
    </mc:AlternateContent>
    <mc:AlternateContent xmlns:mc="http://schemas.openxmlformats.org/markup-compatibility/2006">
      <mc:Choice Requires="x14">
        <control shapeId="3088" r:id="rId10" name="CommandButton1">
          <controlPr locked="0" defaultSize="0" autoFill="0" autoLine="0" altText="" r:id="rId11">
            <anchor moveWithCells="1">
              <from>
                <xdr:col>3</xdr:col>
                <xdr:colOff>723900</xdr:colOff>
                <xdr:row>5</xdr:row>
                <xdr:rowOff>63500</xdr:rowOff>
              </from>
              <to>
                <xdr:col>3</xdr:col>
                <xdr:colOff>3295650</xdr:colOff>
                <xdr:row>5</xdr:row>
                <xdr:rowOff>349250</xdr:rowOff>
              </to>
            </anchor>
          </controlPr>
        </control>
      </mc:Choice>
      <mc:Fallback>
        <control shapeId="3088" r:id="rId10"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C7B08-77CC-4797-80B6-652FBD2D666F}">
  <sheetPr codeName="Sheet1"/>
  <dimension ref="A1:K464"/>
  <sheetViews>
    <sheetView showGridLines="0" tabSelected="1" topLeftCell="A262" zoomScale="54" zoomScaleNormal="55" workbookViewId="0">
      <selection activeCell="A351" sqref="A340:A351"/>
    </sheetView>
  </sheetViews>
  <sheetFormatPr defaultColWidth="9.1796875" defaultRowHeight="13.5" outlineLevelRow="2"/>
  <cols>
    <col min="1" max="1" width="40.453125" style="85" customWidth="1"/>
    <col min="2" max="2" width="81.453125" style="85" customWidth="1"/>
    <col min="3" max="3" width="49.81640625" style="86" customWidth="1"/>
    <col min="4" max="4" width="57.453125" style="86" customWidth="1"/>
    <col min="5" max="5" width="58.54296875" style="85" bestFit="1" customWidth="1"/>
    <col min="6" max="6" width="23.1796875" style="85" customWidth="1"/>
    <col min="7" max="7" width="36.1796875" style="85" customWidth="1"/>
    <col min="8" max="8" width="32" style="85" customWidth="1"/>
    <col min="9" max="9" width="18.54296875" style="85" customWidth="1"/>
    <col min="10" max="16384" width="9.1796875" style="85"/>
  </cols>
  <sheetData>
    <row r="1" spans="1:11" hidden="1"/>
    <row r="2" spans="1:11" hidden="1"/>
    <row r="3" spans="1:11" hidden="1"/>
    <row r="4" spans="1:11" hidden="1"/>
    <row r="5" spans="1:11" hidden="1"/>
    <row r="6" spans="1:11" hidden="1"/>
    <row r="7" spans="1:11" hidden="1"/>
    <row r="8" spans="1:11" hidden="1"/>
    <row r="9" spans="1:11" hidden="1"/>
    <row r="10" spans="1:11" hidden="1"/>
    <row r="11" spans="1:11" ht="44.75" customHeight="1">
      <c r="A11" s="84" t="s">
        <v>1102</v>
      </c>
      <c r="B11" s="84"/>
      <c r="C11" s="84"/>
      <c r="D11" s="84"/>
      <c r="E11" s="84"/>
      <c r="F11" s="84"/>
      <c r="G11" s="84"/>
      <c r="H11" s="84"/>
    </row>
    <row r="12" spans="1:11" ht="14.5" customHeight="1">
      <c r="A12" s="216" t="s">
        <v>1504</v>
      </c>
      <c r="B12" s="216"/>
      <c r="C12" s="216"/>
      <c r="D12" s="216"/>
      <c r="E12" s="216"/>
      <c r="F12" s="216"/>
      <c r="G12" s="216"/>
      <c r="H12" s="216"/>
    </row>
    <row r="13" spans="1:11" ht="17.5">
      <c r="A13" s="217" t="s">
        <v>912</v>
      </c>
      <c r="B13" s="217"/>
      <c r="C13" s="217"/>
      <c r="D13" s="217"/>
      <c r="E13" s="217"/>
      <c r="F13" s="217"/>
      <c r="G13" s="217"/>
      <c r="H13" s="217"/>
      <c r="I13"/>
      <c r="J13"/>
      <c r="K13" s="4"/>
    </row>
    <row r="14" spans="1:11" ht="14">
      <c r="A14" s="87"/>
      <c r="B14" s="170" t="s">
        <v>746</v>
      </c>
      <c r="C14" s="130"/>
      <c r="D14" s="87"/>
      <c r="E14" s="170" t="s">
        <v>15</v>
      </c>
      <c r="F14" s="130"/>
      <c r="G14" s="87"/>
      <c r="H14" s="78"/>
      <c r="I14" s="4"/>
      <c r="J14" s="4"/>
      <c r="K14" s="4"/>
    </row>
    <row r="15" spans="1:11" ht="17.5">
      <c r="A15" s="87"/>
      <c r="B15" s="174"/>
      <c r="C15" s="131"/>
      <c r="D15" s="88"/>
      <c r="E15" s="171"/>
      <c r="F15" s="138"/>
      <c r="G15" s="88"/>
      <c r="H15" s="78"/>
      <c r="I15" s="4"/>
      <c r="J15" s="4"/>
      <c r="K15" s="4"/>
    </row>
    <row r="16" spans="1:11" ht="14">
      <c r="A16" s="87"/>
      <c r="B16" s="127" t="s">
        <v>14</v>
      </c>
      <c r="C16" s="128" t="str">
        <f>DevSel!D23</f>
        <v>A3CW135BM16AI6S</v>
      </c>
      <c r="D16" s="89"/>
      <c r="E16" s="143">
        <f t="shared" ref="E16:E21" si="0">COUNTIF($D$1:$D$538,F16)</f>
        <v>97</v>
      </c>
      <c r="F16" s="144" t="s">
        <v>16</v>
      </c>
      <c r="G16" s="78"/>
      <c r="H16" s="78"/>
      <c r="I16" s="4"/>
      <c r="J16" s="4"/>
      <c r="K16" s="4"/>
    </row>
    <row r="17" spans="1:11" ht="14">
      <c r="A17" s="87"/>
      <c r="B17" s="132"/>
      <c r="C17" s="133"/>
      <c r="D17" s="89"/>
      <c r="E17" s="145">
        <f t="shared" si="0"/>
        <v>0</v>
      </c>
      <c r="F17" s="146" t="s">
        <v>19</v>
      </c>
      <c r="G17" s="78"/>
      <c r="H17" s="78"/>
      <c r="I17" s="4"/>
      <c r="J17" s="4"/>
      <c r="K17" s="4"/>
    </row>
    <row r="18" spans="1:11">
      <c r="A18" s="78"/>
      <c r="B18" s="127" t="s">
        <v>17</v>
      </c>
      <c r="C18" s="129" t="s">
        <v>1442</v>
      </c>
      <c r="D18" s="89"/>
      <c r="E18" s="147">
        <f t="shared" si="0"/>
        <v>9</v>
      </c>
      <c r="F18" s="148" t="s">
        <v>814</v>
      </c>
      <c r="G18" s="78"/>
      <c r="H18" s="78"/>
    </row>
    <row r="19" spans="1:11">
      <c r="A19" s="78"/>
      <c r="B19" s="132"/>
      <c r="C19" s="133"/>
      <c r="D19" s="89"/>
      <c r="E19" s="147">
        <f t="shared" si="0"/>
        <v>0</v>
      </c>
      <c r="F19" s="148" t="s">
        <v>20</v>
      </c>
      <c r="G19" s="78"/>
      <c r="H19" s="78"/>
    </row>
    <row r="20" spans="1:11">
      <c r="A20" s="78"/>
      <c r="B20" s="127" t="s">
        <v>21</v>
      </c>
      <c r="C20" s="129" t="s">
        <v>1467</v>
      </c>
      <c r="D20" s="89"/>
      <c r="E20" s="149">
        <f t="shared" si="0"/>
        <v>185</v>
      </c>
      <c r="F20" s="150" t="s">
        <v>22</v>
      </c>
      <c r="G20" s="78"/>
      <c r="H20" s="78"/>
    </row>
    <row r="21" spans="1:11">
      <c r="A21" s="78"/>
      <c r="B21" s="132"/>
      <c r="C21" s="133"/>
      <c r="D21" s="89"/>
      <c r="E21" s="149">
        <f t="shared" si="0"/>
        <v>0</v>
      </c>
      <c r="F21" s="150" t="s">
        <v>23</v>
      </c>
      <c r="G21" s="78"/>
      <c r="H21" s="78"/>
    </row>
    <row r="22" spans="1:11">
      <c r="A22" s="78"/>
      <c r="B22" s="127" t="s">
        <v>24</v>
      </c>
      <c r="C22" s="129" t="s">
        <v>25</v>
      </c>
      <c r="D22" s="89"/>
      <c r="E22" s="139"/>
      <c r="F22" s="135"/>
      <c r="G22" s="78"/>
      <c r="H22" s="78"/>
    </row>
    <row r="23" spans="1:11">
      <c r="A23" s="78"/>
      <c r="B23" s="134"/>
      <c r="C23" s="135"/>
      <c r="D23" s="89"/>
      <c r="E23" s="134"/>
      <c r="F23" s="140"/>
      <c r="G23" s="78"/>
      <c r="H23" s="78"/>
    </row>
    <row r="24" spans="1:11">
      <c r="A24" s="78"/>
      <c r="B24" s="127" t="s">
        <v>26</v>
      </c>
      <c r="C24" s="129" t="s">
        <v>25</v>
      </c>
      <c r="D24" s="89"/>
      <c r="E24" s="134"/>
      <c r="F24" s="140"/>
      <c r="G24" s="78"/>
      <c r="H24" s="78"/>
    </row>
    <row r="25" spans="1:11">
      <c r="A25" s="78"/>
      <c r="B25" s="132"/>
      <c r="C25" s="133"/>
      <c r="D25" s="89"/>
      <c r="E25" s="134"/>
      <c r="F25" s="140"/>
      <c r="G25" s="78"/>
      <c r="H25" s="78"/>
    </row>
    <row r="26" spans="1:11">
      <c r="A26" s="78"/>
      <c r="B26" s="127" t="s">
        <v>27</v>
      </c>
      <c r="C26" s="129" t="s">
        <v>25</v>
      </c>
      <c r="D26" s="89"/>
      <c r="E26" s="134"/>
      <c r="F26" s="140"/>
      <c r="G26" s="78"/>
      <c r="H26" s="78"/>
    </row>
    <row r="27" spans="1:11">
      <c r="A27" s="87"/>
      <c r="B27" s="136"/>
      <c r="C27" s="137"/>
      <c r="D27" s="89"/>
      <c r="E27" s="141"/>
      <c r="F27" s="142"/>
      <c r="G27" s="78"/>
      <c r="H27" s="78"/>
    </row>
    <row r="28" spans="1:11">
      <c r="A28" s="78"/>
      <c r="B28" s="78"/>
      <c r="C28" s="89"/>
      <c r="D28" s="89"/>
      <c r="E28" s="78"/>
      <c r="F28" s="78"/>
      <c r="G28" s="78"/>
      <c r="H28" s="78"/>
    </row>
    <row r="29" spans="1:11">
      <c r="A29" s="78"/>
      <c r="B29" s="78"/>
      <c r="C29" s="78"/>
      <c r="D29" s="78"/>
      <c r="E29" s="78"/>
      <c r="F29" s="78"/>
      <c r="G29" s="78"/>
      <c r="H29" s="78"/>
    </row>
    <row r="30" spans="1:11" s="91" customFormat="1" ht="15">
      <c r="A30" s="82" t="s">
        <v>28</v>
      </c>
      <c r="B30" s="172"/>
      <c r="C30" s="82"/>
      <c r="D30" s="82"/>
      <c r="E30" s="172"/>
      <c r="F30" s="82"/>
      <c r="G30" s="82"/>
      <c r="H30" s="82"/>
    </row>
    <row r="31" spans="1:11" ht="14" outlineLevel="1" thickBot="1">
      <c r="A31" s="92"/>
      <c r="B31" s="92"/>
      <c r="C31" s="93"/>
      <c r="D31" s="93"/>
      <c r="E31" s="92"/>
      <c r="F31" s="92"/>
      <c r="G31" s="92"/>
      <c r="H31" s="94"/>
    </row>
    <row r="32" spans="1:11" ht="14" outlineLevel="1" thickBot="1">
      <c r="A32" s="83" t="s">
        <v>29</v>
      </c>
      <c r="B32" s="104" t="s">
        <v>913</v>
      </c>
      <c r="C32" s="215" t="str">
        <f>IF(COUNTIF(lstVerifiedVR,var_PWR_VR)=1,IF(var_PWR_VR="OTHERS",MSG!D71,MSG!D70),"")</f>
        <v/>
      </c>
      <c r="D32" s="215"/>
      <c r="E32" s="92"/>
      <c r="F32" s="92"/>
      <c r="G32" s="92"/>
      <c r="H32" s="94"/>
    </row>
    <row r="33" spans="1:8" ht="14" outlineLevel="1" thickBot="1">
      <c r="A33" s="95"/>
      <c r="B33" s="92"/>
      <c r="C33" s="93"/>
      <c r="D33" s="93"/>
      <c r="E33" s="92"/>
      <c r="F33" s="92"/>
      <c r="G33" s="92"/>
      <c r="H33" s="94"/>
    </row>
    <row r="34" spans="1:8" ht="14" outlineLevel="1" thickBot="1">
      <c r="A34" s="83" t="s">
        <v>30</v>
      </c>
      <c r="B34" s="83" t="s">
        <v>31</v>
      </c>
      <c r="C34" s="83" t="s">
        <v>32</v>
      </c>
      <c r="D34" s="83" t="s">
        <v>33</v>
      </c>
      <c r="E34" s="83" t="s">
        <v>34</v>
      </c>
      <c r="F34" s="83" t="s">
        <v>35</v>
      </c>
      <c r="G34" s="83" t="s">
        <v>36</v>
      </c>
      <c r="H34" s="83" t="s">
        <v>37</v>
      </c>
    </row>
    <row r="35" spans="1:8" ht="108.5" outlineLevel="1" thickBot="1">
      <c r="A35" s="81" t="s">
        <v>38</v>
      </c>
      <c r="B35" s="173" t="str">
        <f>IFERROR(VLOOKUP(tblCHKPWR[[#This Row],[Pin Name]],tblPWR[],4,FALSE),MSG!$B$10)</f>
        <v>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VCCP and other power supplies. Decoupling for these pins depends on the decoupling requirements of the specific board.</v>
      </c>
      <c r="C35" s="96" t="s">
        <v>1506</v>
      </c>
      <c r="D35" s="96" t="s">
        <v>16</v>
      </c>
      <c r="E35" s="173" t="str">
        <f>IFERROR(VLOOKUP(tblCHKPWR[[#This Row],[Pin Name]],tblPWR[],3,FALSE),MSG!$B$10)</f>
        <v>VCCP supplies power to the periphery.</v>
      </c>
      <c r="F35" s="81">
        <f>IFERROR(VLOOKUP(tblCHKPWR[[#This Row],[Pin Name]],tblPWR[],5,FALSE),MSG!$B$10)</f>
        <v>1</v>
      </c>
      <c r="G35" s="81" t="str">
        <f>IFERROR(VLOOKUP(tblCHKPWR[[#This Row],[Pin Name]],tblPWR_DCP[#All],2,FALSE),MSG!$D$10)</f>
        <v>Bottom-side Capacitors :4x 10uF 0402 Periphery Capacitors :—</v>
      </c>
      <c r="H35" s="81" t="str">
        <f>IFERROR(VLOOKUP(tblCHKPWR[[#This Row],[Pin Name]],tblPWR_DCP[],3,FALSE),MSG!$D$10)</f>
        <v>VR vendors capacitors recommendation must be compiled.</v>
      </c>
    </row>
    <row r="36" spans="1:8" ht="108.5" outlineLevel="1" thickBot="1">
      <c r="A36" s="81" t="s">
        <v>39</v>
      </c>
      <c r="B36" s="173" t="str">
        <f>IFERROR(VLOOKUP(tblCHKPWR[[#This Row],[Pin Name]],tblPWR[],4,FALSE),MSG!$B$10)</f>
        <v>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 and other power supplies. Decoupling for these pins depends on the decoupling requirements of the specific board.</v>
      </c>
      <c r="C36" s="96" t="s">
        <v>1506</v>
      </c>
      <c r="D36" s="96" t="s">
        <v>16</v>
      </c>
      <c r="E36" s="173" t="str">
        <f>IFERROR(VLOOKUP(tblCHKPWR[[#This Row],[Pin Name]],tblPWR[],3,FALSE),MSG!$B$10)</f>
        <v>VCC supplies power to the core.</v>
      </c>
      <c r="F36" s="81">
        <f>IFERROR(VLOOKUP(tblCHKPWR[[#This Row],[Pin Name]],tblPWR[],5,FALSE),MSG!$B$10)</f>
        <v>1</v>
      </c>
      <c r="G36" s="81" t="str">
        <f>IFERROR(VLOOKUP(tblCHKPWR[[#This Row],[Pin Name]],tblPWR_DCP[#All],2,FALSE),MSG!$D$10)</f>
        <v>Bottom-side Capacitors :4x 10uF 0402 Periphery Capacitors :—</v>
      </c>
      <c r="H36" s="81" t="str">
        <f>IFERROR(VLOOKUP(tblCHKPWR[[#This Row],[Pin Name]],tblPWR_DCP[],3,FALSE),MSG!$D$10)</f>
        <v>VR vendors capacitors recommendation must be compiled.</v>
      </c>
    </row>
    <row r="37" spans="1:8" ht="176" outlineLevel="1" thickBot="1">
      <c r="A37" s="81" t="s">
        <v>40</v>
      </c>
      <c r="B37" s="173" t="str">
        <f>IFERROR(VLOOKUP(tblCHKPWR[[#This Row],[Pin Name]],tblPWR[],4,FALSE),MSG!$B$10)</f>
        <v>Connect VCCPT to a 1.8-V low noise switching regulator. You have the option to source the following from the same regulator as VCCPT:
•	VCCIO_SDM, VCCIO_HPS, and VCCPT_HVIO
•	VCCPLL_SDM, VCCPLL_HPS, and VCCADC with proper isolation filtering
Voltage spike ringing may be observed on VCCPT during device power-down sequencing if VCC is powered down before VCCPT, with the magnitude of the voltage spike ringing higher than VCCPT. This is the expected behavior and causes neither any functional failure nor reliability concerns to the device.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v>
      </c>
      <c r="C37" s="96" t="s">
        <v>1507</v>
      </c>
      <c r="D37" s="96" t="s">
        <v>16</v>
      </c>
      <c r="E37" s="173" t="str">
        <f>IFERROR(VLOOKUP(tblCHKPWR[[#This Row],[Pin Name]],tblPWR[],3,FALSE),MSG!$B$10)</f>
        <v>Power supply for the IOPLL, programmable power technology, and I/O pre-drivers.</v>
      </c>
      <c r="F37" s="81" t="str">
        <f>IFERROR(VLOOKUP(tblCHKPWR[[#This Row],[Pin Name]],tblPWR[],5,FALSE),MSG!$B$10)</f>
        <v>2A</v>
      </c>
      <c r="G37" s="81" t="str">
        <f>IFERROR(VLOOKUP(tblCHKPWR[[#This Row],[Pin Name]],tblPWR_DCP[#All],2,FALSE),MSG!$D$10)</f>
        <v>Bottom-side Capacitors :2x 4.7uF 0201 Periphery Capacitors :1x 10uF 0402</v>
      </c>
      <c r="H37" s="81" t="str">
        <f>IFERROR(VLOOKUP(tblCHKPWR[[#This Row],[Pin Name]],tblPWR_DCP[],3,FALSE),MSG!$D$10)</f>
        <v>—</v>
      </c>
    </row>
    <row r="38" spans="1:8" ht="41" outlineLevel="1" thickBot="1">
      <c r="A38" s="81" t="s">
        <v>41</v>
      </c>
      <c r="B38" s="173" t="str">
        <f>IFERROR(VLOOKUP(tblCHKPWR[[#This Row],[Pin Name]],tblPWR[],4,FALSE),MSG!$B$10)</f>
        <v>Connect the VCCRCORE to 1.2-V power supply.
You have the option to source VCCRCORE from the same regulator as VCCIO_PIO when you are using 1.2 V for VCCIO_PIO.</v>
      </c>
      <c r="C38" s="96" t="s">
        <v>1508</v>
      </c>
      <c r="D38" s="96" t="s">
        <v>16</v>
      </c>
      <c r="E38" s="173" t="str">
        <f>IFERROR(VLOOKUP(tblCHKPWR[[#This Row],[Pin Name]],tblPWR[],3,FALSE),MSG!$B$10)</f>
        <v>Power supply for programmable power technology.</v>
      </c>
      <c r="F38" s="81" t="str">
        <f>IFERROR(VLOOKUP(tblCHKPWR[[#This Row],[Pin Name]],tblPWR[],5,FALSE),MSG!$B$10)</f>
        <v>2B</v>
      </c>
      <c r="G38" s="81" t="str">
        <f>IFERROR(VLOOKUP(tblCHKPWR[[#This Row],[Pin Name]],tblPWR_DCP[#All],2,FALSE),MSG!$D$10)</f>
        <v>Bottom-side Capacitors :1x 1uF 0201 Periphery Capacitors :1x 10uF 0402</v>
      </c>
      <c r="H38" s="81" t="str">
        <f>IFERROR(VLOOKUP(tblCHKPWR[[#This Row],[Pin Name]],tblPWR_DCP[],3,FALSE),MSG!$D$10)</f>
        <v>—</v>
      </c>
    </row>
    <row r="39" spans="1:8" ht="41" outlineLevel="1" thickBot="1">
      <c r="A39" s="81" t="s">
        <v>42</v>
      </c>
      <c r="B39" s="173" t="str">
        <f>IFERROR(VLOOKUP(tblCHKPWR[[#This Row],[Pin Name]],tblPWR[],4,FALSE),MSG!$B$10)</f>
        <v>You must connect this sense to the VCCERT_GTS (1.0 V) rail for the Agilex 3 device with transceiver and connect this sense to VCCL_SDM for the device without transceiver.</v>
      </c>
      <c r="C39" s="96" t="s">
        <v>1509</v>
      </c>
      <c r="D39" s="96" t="s">
        <v>16</v>
      </c>
      <c r="E39" s="173" t="str">
        <f>IFERROR(VLOOKUP(tblCHKPWR[[#This Row],[Pin Name]],tblPWR[],3,FALSE),MSG!$B$10)</f>
        <v>Voltage rail sense.</v>
      </c>
      <c r="F39" s="81">
        <f>IFERROR(VLOOKUP(tblCHKPWR[[#This Row],[Pin Name]],tblPWR[],5,FALSE),MSG!$B$10)</f>
        <v>1</v>
      </c>
      <c r="G39" s="81" t="str">
        <f>IFERROR(VLOOKUP(tblCHKPWR[[#This Row],[Pin Name]],tblPWR_DCP[#All],2,FALSE),MSG!$D$10)</f>
        <v>Bottom-side Capacitors :1x 1uF 0201 Periphery Capacitors :—</v>
      </c>
      <c r="H39" s="81" t="str">
        <f>IFERROR(VLOOKUP(tblCHKPWR[[#This Row],[Pin Name]],tblPWR_DCP[],3,FALSE),MSG!$D$10)</f>
        <v>—</v>
      </c>
    </row>
    <row r="40" spans="1:8" ht="324.5" outlineLevel="1" thickBot="1">
      <c r="A40" s="81" t="s">
        <v>1466</v>
      </c>
      <c r="B40" s="173" t="str">
        <f>IFERROR(VLOOKUP(tblCHKPWR[[#This Row],[Pin Name]],tblPWR[],4,FALSE),MSG!$B$10)</f>
        <v>Connect these pins to a 1.0 V, 1.05 V, 1.1 V, 1.2 V, or 1.3 V power supplies, depending on the I/O standard required by the specific sub-bank.
When the entire HSIO bank is unused, you may connect the VCCIO_PIO of the unused HSIO bank to GND, 1.0 V, 1.05 V, 1.1 V, 1.2 V, or 1.3 V.
If only one of the sub-bank within the same HSIO bank is unused, you must connect the VCCIO_PIO of the unused sub-bank to the same VCCIO_PIO voltage level as the other actively utilized sub-bank.
Do not leave the VCCIO_PIO floating.
For the voltage tolerance (±3% or ±5%) in different use cases, refer to the Agilex 3 FPGAs and SoCs Device Data Sheet.
You have option to connect VCCIO_PIO_T and VCCIO_PIO_B in the same I/O bank with different voltage level, for example, VCCIO_PIO_2AT (1.2 V) and VCCIO_PIO_2AB (1.1 V).
If you have LVDS TX signals on the sub-bank of your board, the VCCIO_PIO of this sub-bank must be connected to 1.3 V.
During the power-up sequence only, a transient current whose magnitude is less than the VCCIO_PIO operating static current may be observed as the VCCIO_PIO transistors become operational. This is the expected behavior and causes neither any functional failure nor reliability concerns to the device if the power-up or power-down sequence is followed.
For more details, refer to the Power Management User Guide: Agilex 3 FPGAs and SoCs and General-Purpose I/O User Guide: Agilex 3 FPGAs and SoCs.
For the power rail sharing, refer to the Power Supply Sharing Guidelines for Agilex 3 Devices section.</v>
      </c>
      <c r="C40" s="96" t="s">
        <v>1510</v>
      </c>
      <c r="D40" s="96" t="s">
        <v>16</v>
      </c>
      <c r="E40" s="173" t="str">
        <f>IFERROR(VLOOKUP(tblCHKPWR[[#This Row],[Pin Name]],tblPWR[],3,FALSE),MSG!$B$10)</f>
        <v>These are the supply voltage pins for the HSIO banks. Each sub-bank can support a different voltage level. Supported VCCIO standards include the following:
•	1.0-V
•	1.05-V
•	1.1-V
•	1.2-V
•	1.3-V
For more information about the supported pins, refer to the device pin-out file.</v>
      </c>
      <c r="F40" s="81" t="str">
        <f>IFERROR(VLOOKUP(tblCHKPWR[[#This Row],[Pin Name]],tblPWR[],5,FALSE),MSG!$B$10)</f>
        <v>2B</v>
      </c>
      <c r="G40" s="81" t="str">
        <f>IFERROR(VLOOKUP(tblCHKPWR[[#This Row],[Pin Name]],tblPWR_DCP[#All],2,FALSE),MSG!$D$10)</f>
        <v>Bottom-side Capacitors :2x 4.7uF 0201 Periphery Capacitors :1x 10uF 0402</v>
      </c>
      <c r="H40" s="81" t="str">
        <f>IFERROR(VLOOKUP(tblCHKPWR[[#This Row],[Pin Name]],tblPWR_DCP[],3,FALSE),MSG!$D$10)</f>
        <v>Per IO bank</v>
      </c>
    </row>
    <row r="41" spans="1:8" ht="41" outlineLevel="1" thickBot="1">
      <c r="A41" s="81" t="s">
        <v>43</v>
      </c>
      <c r="B41" s="173" t="str">
        <f>IFERROR(VLOOKUP(tblCHKPWR[[#This Row],[Pin Name]],tblPWR[],4,FALSE),MSG!$B$10)</f>
        <v>Connect these pins to VCCIO_PIO_3AT as 1.2 V when you use Avalon streaming interface x16 for FPGA configuration.  Connect these pins to VCCRCORE if you do not use Avalon streaming interface x16 for FPGA configuration.</v>
      </c>
      <c r="C41" s="96" t="s">
        <v>1508</v>
      </c>
      <c r="D41" s="96" t="s">
        <v>16</v>
      </c>
      <c r="E41" s="173" t="str">
        <f>IFERROR(VLOOKUP(tblCHKPWR[[#This Row],[Pin Name]],tblPWR[],3,FALSE),MSG!$B$10)</f>
        <v>VCCIO_PIO voltage rail sense line.</v>
      </c>
      <c r="F41" s="81" t="str">
        <f>IFERROR(VLOOKUP(tblCHKPWR[[#This Row],[Pin Name]],tblPWR[],5,FALSE),MSG!$B$10)</f>
        <v>2B</v>
      </c>
      <c r="G41" s="81" t="str">
        <f>IFERROR(VLOOKUP(tblCHKPWR[[#This Row],[Pin Name]],tblPWR_DCP[#All],2,FALSE),MSG!$D$10)</f>
        <v>Bottom-side Capacitors :1x 1uF 0201 Periphery Capacitors :—</v>
      </c>
      <c r="H41" s="81" t="str">
        <f>IFERROR(VLOOKUP(tblCHKPWR[[#This Row],[Pin Name]],tblPWR_DCP[],3,FALSE),MSG!$D$10)</f>
        <v>—</v>
      </c>
    </row>
    <row r="42" spans="1:8" ht="81.5" outlineLevel="1" thickBot="1">
      <c r="A42" s="81" t="s">
        <v>44</v>
      </c>
      <c r="B42" s="173" t="str">
        <f>IFERROR(VLOOKUP(tblCHKPWR[[#This Row],[Pin Name]],tblPWR[],4,FALSE),MSG!$B$10)</f>
        <v>Connect these pins to a 1.8-V power supply.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v>
      </c>
      <c r="C42" s="96" t="s">
        <v>1511</v>
      </c>
      <c r="D42" s="96" t="s">
        <v>16</v>
      </c>
      <c r="E42" s="173" t="str">
        <f>IFERROR(VLOOKUP(tblCHKPWR[[#This Row],[Pin Name]],tblPWR[],3,FALSE),MSG!$B$10)</f>
        <v>Configuration pins power supply.</v>
      </c>
      <c r="F42" s="81" t="str">
        <f>IFERROR(VLOOKUP(tblCHKPWR[[#This Row],[Pin Name]],tblPWR[],5,FALSE),MSG!$B$10)</f>
        <v>2A</v>
      </c>
      <c r="G42" s="81" t="str">
        <f>IFERROR(VLOOKUP(tblCHKPWR[[#This Row],[Pin Name]],tblPWR_DCP[#All],2,FALSE),MSG!$D$10)</f>
        <v>Bottom-side Capacitors :1x 1uF 0201 Periphery Capacitors :1x 10uF 0402</v>
      </c>
      <c r="H42" s="81" t="str">
        <f>IFERROR(VLOOKUP(tblCHKPWR[[#This Row],[Pin Name]],tblPWR_DCP[],3,FALSE),MSG!$D$10)</f>
        <v>—</v>
      </c>
    </row>
    <row r="43" spans="1:8" ht="41" outlineLevel="1" thickBot="1">
      <c r="A43" s="81" t="s">
        <v>45</v>
      </c>
      <c r="B43" s="173" t="str">
        <f>IFERROR(VLOOKUP(tblCHKPWR[[#This Row],[Pin Name]],tblPWR[],4,FALSE),MSG!$B$10)</f>
        <v>VCCPLLDIG_SDM must be sourced from the same regulator as VCCL_SDM with proper isolation filtering.</v>
      </c>
      <c r="C43" s="96" t="s">
        <v>1512</v>
      </c>
      <c r="D43" s="96" t="s">
        <v>16</v>
      </c>
      <c r="E43" s="173" t="str">
        <f>IFERROR(VLOOKUP(tblCHKPWR[[#This Row],[Pin Name]],tblPWR[],3,FALSE),MSG!$B$10)</f>
        <v>SDM block PLL power pins.</v>
      </c>
      <c r="F43" s="81">
        <f>IFERROR(VLOOKUP(tblCHKPWR[[#This Row],[Pin Name]],tblPWR[],5,FALSE),MSG!$B$10)</f>
        <v>1</v>
      </c>
      <c r="G43" s="81" t="str">
        <f>IFERROR(VLOOKUP(tblCHKPWR[[#This Row],[Pin Name]],tblPWR_DCP[#All],2,FALSE),MSG!$D$10)</f>
        <v>Bottom-side Capacitors :1x 1uF 0201 Periphery Capacitors :LC filter capacitors</v>
      </c>
      <c r="H43" s="81" t="str">
        <f>IFERROR(VLOOKUP(tblCHKPWR[[#This Row],[Pin Name]],tblPWR_DCP[],3,FALSE),MSG!$D$10)</f>
        <v>—</v>
      </c>
    </row>
    <row r="44" spans="1:8" ht="27.5" outlineLevel="1" thickBot="1">
      <c r="A44" s="81" t="s">
        <v>46</v>
      </c>
      <c r="B44" s="173" t="str">
        <f>IFERROR(VLOOKUP(tblCHKPWR[[#This Row],[Pin Name]],tblPWR[],4,FALSE),MSG!$B$10)</f>
        <v>For the devices with speed grade -6S, connect these pins to a 0.78-V power supply. For the devices with speed grade -7S , connect these pins to 0.75-V power supply.</v>
      </c>
      <c r="C44" s="96" t="s">
        <v>1512</v>
      </c>
      <c r="D44" s="96" t="s">
        <v>16</v>
      </c>
      <c r="E44" s="173" t="str">
        <f>IFERROR(VLOOKUP(tblCHKPWR[[#This Row],[Pin Name]],tblPWR[],3,FALSE),MSG!$B$10)</f>
        <v>SDM power supply.</v>
      </c>
      <c r="F44" s="81">
        <f>IFERROR(VLOOKUP(tblCHKPWR[[#This Row],[Pin Name]],tblPWR[],5,FALSE),MSG!$B$10)</f>
        <v>1</v>
      </c>
      <c r="G44" s="81" t="str">
        <f>IFERROR(VLOOKUP(tblCHKPWR[[#This Row],[Pin Name]],tblPWR_DCP[#All],2,FALSE),MSG!$D$10)</f>
        <v>Bottom-side Capacitors :2x 1uF 0201 Periphery Capacitors :—</v>
      </c>
      <c r="H44" s="81" t="str">
        <f>IFERROR(VLOOKUP(tblCHKPWR[[#This Row],[Pin Name]],tblPWR_DCP[],3,FALSE),MSG!$D$10)</f>
        <v>—</v>
      </c>
    </row>
    <row r="45" spans="1:8" ht="54.5" outlineLevel="1" thickBot="1">
      <c r="A45" s="81" t="s">
        <v>47</v>
      </c>
      <c r="B45" s="173" t="str">
        <f>IFERROR(VLOOKUP(tblCHKPWR[[#This Row],[Pin Name]],tblPWR[],4,FALSE),MSG!$B$10)</f>
        <v>With proper isolation filtering, you have the option to source VCCPLL_SDM from the same regulator as VCCPT.
Decoupling for these pins depends on the design decoupling requirements of the specific board.</v>
      </c>
      <c r="C45" s="96" t="s">
        <v>1511</v>
      </c>
      <c r="D45" s="96" t="s">
        <v>16</v>
      </c>
      <c r="E45" s="173" t="str">
        <f>IFERROR(VLOOKUP(tblCHKPWR[[#This Row],[Pin Name]],tblPWR[],3,FALSE),MSG!$B$10)</f>
        <v>VCCPLL_SDM supplies analog power to the SDM block PLLs.</v>
      </c>
      <c r="F45" s="81" t="str">
        <f>IFERROR(VLOOKUP(tblCHKPWR[[#This Row],[Pin Name]],tblPWR[],5,FALSE),MSG!$B$10)</f>
        <v>2A</v>
      </c>
      <c r="G45" s="81" t="str">
        <f>IFERROR(VLOOKUP(tblCHKPWR[[#This Row],[Pin Name]],tblPWR_DCP[#All],2,FALSE),MSG!$D$10)</f>
        <v>Bottom-side Capacitors :1x 1uF 0201 Periphery Capacitors :LC filter capacitors</v>
      </c>
      <c r="H45" s="81" t="str">
        <f>IFERROR(VLOOKUP(tblCHKPWR[[#This Row],[Pin Name]],tblPWR_DCP[],3,FALSE),MSG!$D$10)</f>
        <v>—</v>
      </c>
    </row>
    <row r="46" spans="1:8" ht="14" outlineLevel="1" thickBot="1">
      <c r="A46" s="81" t="s">
        <v>48</v>
      </c>
      <c r="B46" s="173" t="str">
        <f>IFERROR(VLOOKUP(tblCHKPWR[[#This Row],[Pin Name]],tblPWR[],4,FALSE),MSG!$B$10)</f>
        <v>Connect all GND pins to the board ground plane.</v>
      </c>
      <c r="C46" s="96" t="s">
        <v>1513</v>
      </c>
      <c r="D46" s="96" t="s">
        <v>16</v>
      </c>
      <c r="E46" s="173" t="str">
        <f>IFERROR(VLOOKUP(tblCHKPWR[[#This Row],[Pin Name]],tblPWR[],3,FALSE),MSG!$B$10)</f>
        <v>Device ground pins.</v>
      </c>
      <c r="F46" s="81" t="str">
        <f>IFERROR(VLOOKUP(tblCHKPWR[[#This Row],[Pin Name]],tblPWR[],5,FALSE),MSG!$B$10)</f>
        <v>-</v>
      </c>
      <c r="G46" s="81" t="str">
        <f>IFERROR(VLOOKUP(tblCHKPWR[[#This Row],[Pin Name]],tblPWR_DCP[#All],2,FALSE),MSG!$D$10)</f>
        <v>—</v>
      </c>
      <c r="H46" s="81" t="str">
        <f>IFERROR(VLOOKUP(tblCHKPWR[[#This Row],[Pin Name]],tblPWR_DCP[],3,FALSE),MSG!$D$10)</f>
        <v>—</v>
      </c>
    </row>
    <row r="47" spans="1:8" ht="95" outlineLevel="1" thickBot="1">
      <c r="A47" s="81" t="s">
        <v>49</v>
      </c>
      <c r="B47" s="173" t="str">
        <f>IFERROR(VLOOKUP(tblCHKPWR[[#This Row],[Pin Name]],tblPWR[],4,FALSE),MSG!$B$10)</f>
        <v>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v>
      </c>
      <c r="C47" s="96" t="s">
        <v>1514</v>
      </c>
      <c r="D47" s="96" t="s">
        <v>16</v>
      </c>
      <c r="E47" s="173" t="str">
        <f>IFERROR(VLOOKUP(tblCHKPWR[[#This Row],[Pin Name]],tblPWR[],3,FALSE),MSG!$B$10)</f>
        <v>Differential sense line to external regulator.</v>
      </c>
      <c r="F47" s="81" t="str">
        <f>IFERROR(VLOOKUP(tblCHKPWR[[#This Row],[Pin Name]],tblPWR[],5,FALSE),MSG!$B$10)</f>
        <v>-</v>
      </c>
      <c r="G47" s="81" t="str">
        <f>IFERROR(VLOOKUP(tblCHKPWR[[#This Row],[Pin Name]],tblPWR_DCP[#All],2,FALSE),MSG!$D$10)</f>
        <v>—</v>
      </c>
      <c r="H47" s="81" t="str">
        <f>IFERROR(VLOOKUP(tblCHKPWR[[#This Row],[Pin Name]],tblPWR_DCP[],3,FALSE),MSG!$D$10)</f>
        <v>—</v>
      </c>
    </row>
    <row r="48" spans="1:8" ht="95" outlineLevel="1" thickBot="1">
      <c r="A48" s="81" t="s">
        <v>50</v>
      </c>
      <c r="B48" s="173" t="str">
        <f>IFERROR(VLOOKUP(tblCHKPWR[[#This Row],[Pin Name]],tblPWR[],4,FALSE),MSG!$B$10)</f>
        <v>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v>
      </c>
      <c r="C48" s="96" t="s">
        <v>1514</v>
      </c>
      <c r="D48" s="96" t="s">
        <v>16</v>
      </c>
      <c r="E48" s="173" t="str">
        <f>IFERROR(VLOOKUP(tblCHKPWR[[#This Row],[Pin Name]],tblPWR[],3,FALSE),MSG!$B$10)</f>
        <v>Differential sense line to external regulator.</v>
      </c>
      <c r="F48" s="81" t="str">
        <f>IFERROR(VLOOKUP(tblCHKPWR[[#This Row],[Pin Name]],tblPWR[],5,FALSE),MSG!$B$10)</f>
        <v>-</v>
      </c>
      <c r="G48" s="81" t="str">
        <f>IFERROR(VLOOKUP(tblCHKPWR[[#This Row],[Pin Name]],tblPWR_DCP[#All],2,FALSE),MSG!$D$10)</f>
        <v>—</v>
      </c>
      <c r="H48" s="81" t="str">
        <f>IFERROR(VLOOKUP(tblCHKPWR[[#This Row],[Pin Name]],tblPWR_DCP[],3,FALSE),MSG!$D$10)</f>
        <v>—</v>
      </c>
    </row>
    <row r="49" spans="1:8" ht="41" outlineLevel="1" thickBot="1">
      <c r="A49" s="81" t="s">
        <v>51</v>
      </c>
      <c r="B49" s="173" t="str">
        <f>IFERROR(VLOOKUP(tblCHKPWR[[#This Row],[Pin Name]],tblPWR[],4,FALSE),MSG!$B$10)</f>
        <v>You must supply a low noise 1.8-V power supply to this pin if you are using the internal voltage sensors of the Agilex 3 device.
Tie this pin to VCCPT with proper isolation filtering.</v>
      </c>
      <c r="C49" s="96" t="s">
        <v>1511</v>
      </c>
      <c r="D49" s="96" t="s">
        <v>16</v>
      </c>
      <c r="E49" s="173" t="str">
        <f>IFERROR(VLOOKUP(tblCHKPWR[[#This Row],[Pin Name]],tblPWR[],3,FALSE),MSG!$B$10)</f>
        <v>ADC power pin for the voltage sensors.</v>
      </c>
      <c r="F49" s="81" t="str">
        <f>IFERROR(VLOOKUP(tblCHKPWR[[#This Row],[Pin Name]],tblPWR[],5,FALSE),MSG!$B$10)</f>
        <v>2A</v>
      </c>
      <c r="G49" s="81" t="str">
        <f>IFERROR(VLOOKUP(tblCHKPWR[[#This Row],[Pin Name]],tblPWR_DCP[#All],2,FALSE),MSG!$D$10)</f>
        <v>Bottom-side Capacitors :1x 1uF 0201 Periphery Capacitors :LC filter capacitors</v>
      </c>
      <c r="H49" s="81" t="str">
        <f>IFERROR(VLOOKUP(tblCHKPWR[[#This Row],[Pin Name]],tblPWR_DCP[],3,FALSE),MSG!$D$10)</f>
        <v>—</v>
      </c>
    </row>
    <row r="50" spans="1:8" ht="41" outlineLevel="1" thickBot="1">
      <c r="A50" s="81" t="s">
        <v>52</v>
      </c>
      <c r="B50" s="173" t="str">
        <f>IFERROR(VLOOKUP(tblCHKPWR[[#This Row],[Pin Name]],tblPWR[],4,FALSE),MSG!$B$10)</f>
        <v>Connect this pin to 1.8-V. You must source VCCFUSEWR_SDM and VCCPT from the same 1.8-V regulator.</v>
      </c>
      <c r="C50" s="96" t="s">
        <v>1511</v>
      </c>
      <c r="D50" s="96" t="s">
        <v>16</v>
      </c>
      <c r="E50" s="173" t="str">
        <f>IFERROR(VLOOKUP(tblCHKPWR[[#This Row],[Pin Name]],tblPWR[],3,FALSE),MSG!$B$10)</f>
        <v>The required power supply to program (write) the optional, one-time programmable eFuses. These eFuses are an integral part of the Agilex 3 security architecture.</v>
      </c>
      <c r="F50" s="81" t="str">
        <f>IFERROR(VLOOKUP(tblCHKPWR[[#This Row],[Pin Name]],tblPWR[],5,FALSE),MSG!$B$10)</f>
        <v>2A</v>
      </c>
      <c r="G50" s="81" t="str">
        <f>IFERROR(VLOOKUP(tblCHKPWR[[#This Row],[Pin Name]],tblPWR_DCP[#All],2,FALSE),MSG!$D$10)</f>
        <v>Bottom-side Capacitors :1x 1uF 0201 Periphery Capacitors :1x 4.7uF 0402</v>
      </c>
      <c r="H50" s="81" t="str">
        <f>IFERROR(VLOOKUP(tblCHKPWR[[#This Row],[Pin Name]],tblPWR_DCP[],3,FALSE),MSG!$D$10)</f>
        <v>—</v>
      </c>
    </row>
    <row r="51" spans="1:8" ht="27.5" outlineLevel="1" thickBot="1">
      <c r="A51" s="81" t="s">
        <v>692</v>
      </c>
      <c r="B51" s="173" t="str">
        <f>IFERROR(VLOOKUP(tblCHKPWR[[#This Row],[Pin Name]],tblPWR[],4,FALSE),MSG!$B$10)</f>
        <v>Connect these pins to a 1.8-V power supply. You must share the same regulator with VCCPT.</v>
      </c>
      <c r="C51" s="96" t="s">
        <v>1511</v>
      </c>
      <c r="D51" s="96" t="s">
        <v>16</v>
      </c>
      <c r="E51" s="173" t="str">
        <f>IFERROR(VLOOKUP(tblCHKPWR[[#This Row],[Pin Name]],tblPWR[],3,FALSE),MSG!$B$10)</f>
        <v>Pre-driver analog power supply pin for HVIO.</v>
      </c>
      <c r="F51" s="81" t="str">
        <f>IFERROR(VLOOKUP(tblCHKPWR[[#This Row],[Pin Name]],tblPWR[],5,FALSE),MSG!$B$10)</f>
        <v>2A</v>
      </c>
      <c r="G51" s="81" t="str">
        <f>IFERROR(VLOOKUP(tblCHKPWR[[#This Row],[Pin Name]],tblPWR_DCP[#All],2,FALSE),MSG!$D$10)</f>
        <v>Bottom-side Capacitors :2x 1uF 0201 Periphery Capacitors :—</v>
      </c>
      <c r="H51" s="81" t="str">
        <f>IFERROR(VLOOKUP(tblCHKPWR[[#This Row],[Pin Name]],tblPWR_DCP[],3,FALSE),MSG!$D$10)</f>
        <v>Per IO bank</v>
      </c>
    </row>
    <row r="52" spans="1:8" ht="27.5" outlineLevel="1" thickBot="1">
      <c r="A52" s="81" t="s">
        <v>693</v>
      </c>
      <c r="B52" s="173" t="str">
        <f>IFERROR(VLOOKUP(tblCHKPWR[[#This Row],[Pin Name]],tblPWR[],4,FALSE),MSG!$B$10)</f>
        <v>You can connect these pins to a 1.8-V, 2.5-V, or 3.3-V power supply.</v>
      </c>
      <c r="C52" s="96" t="s">
        <v>1515</v>
      </c>
      <c r="D52" s="96" t="s">
        <v>16</v>
      </c>
      <c r="E52" s="173" t="str">
        <f>IFERROR(VLOOKUP(tblCHKPWR[[#This Row],[Pin Name]],tblPWR[],3,FALSE),MSG!$B$10)</f>
        <v>Buffer analog power supply pin for HVIO.</v>
      </c>
      <c r="F52" s="81" t="str">
        <f>IFERROR(VLOOKUP(tblCHKPWR[[#This Row],[Pin Name]],tblPWR[],5,FALSE),MSG!$B$10)</f>
        <v>2B</v>
      </c>
      <c r="G52" s="81" t="str">
        <f>IFERROR(VLOOKUP(tblCHKPWR[[#This Row],[Pin Name]],tblPWR_DCP[#All],2,FALSE),MSG!$D$10)</f>
        <v>Bottom-side Capacitors :1x 1uF 0201 Periphery Capacitors :—</v>
      </c>
      <c r="H52" s="81" t="str">
        <f>IFERROR(VLOOKUP(tblCHKPWR[[#This Row],[Pin Name]],tblPWR_DCP[],3,FALSE),MSG!$D$10)</f>
        <v>Per IO bank</v>
      </c>
    </row>
    <row r="53" spans="1:8" ht="54.5" outlineLevel="1" thickBot="1">
      <c r="A53" s="81" t="s">
        <v>885</v>
      </c>
      <c r="B53" s="173" t="str">
        <f>IFERROR(VLOOKUP(tblCHKPWR[[#This Row],[Pin Name]],tblPWR[],4,FALSE),MSG!$B$10)</f>
        <v>For the range of the VCCL_ADC_SDM power supply voltage, refer to the Agilex 3 FPGAs and SoCs Device Data Sheet.
VCCL_ADC_SDM can be shared with VCC.
Do not leave the VCCL_ADC_SDM floating or connected to GND.</v>
      </c>
      <c r="C53" s="96" t="s">
        <v>1512</v>
      </c>
      <c r="D53" s="96" t="s">
        <v>16</v>
      </c>
      <c r="E53" s="184" t="str">
        <f>IFERROR(VLOOKUP(tblCHKPWR[[#This Row],[Pin Name]],tblPWR[],3,FALSE),MSG!$B$10)</f>
        <v>HPS DSU and periphery voltage sense.</v>
      </c>
      <c r="F53" s="200">
        <f>IFERROR(VLOOKUP(tblCHKPWR[[#This Row],[Pin Name]],tblPWR[],5,FALSE),MSG!$B$10)</f>
        <v>1</v>
      </c>
      <c r="G53" s="200" t="str">
        <f>IFERROR(VLOOKUP(tblCHKPWR[[#This Row],[Pin Name]],tblPWR_DCP[#All],2,FALSE),MSG!$D$10)</f>
        <v>Bottom-side Capacitors :1x 1uF 0201 Periphery Capacitors :—</v>
      </c>
      <c r="H53" s="200" t="str">
        <f>IFERROR(VLOOKUP(tblCHKPWR[[#This Row],[Pin Name]],tblPWR_DCP[],3,FALSE),MSG!$D$10)</f>
        <v>—</v>
      </c>
    </row>
    <row r="54" spans="1:8" ht="54.5" outlineLevel="1" thickBot="1">
      <c r="A54" s="81" t="s">
        <v>694</v>
      </c>
      <c r="B54" s="173" t="str">
        <f>IFERROR(VLOOKUP(tblCHKPWR[[#This Row],[Pin Name]],tblPWR[],4,FALSE),MSG!$B$10)</f>
        <v>For the range of the VCC_IO_SDM power supply voltage, refer to the Agilex 3 FPGAs and SoCs Device Data Sheet.
VCC_IO_SDM can be shared with VCC.
Do not leave the VCC_IO_SDM floating or connected to GND.</v>
      </c>
      <c r="C54" s="96" t="s">
        <v>1537</v>
      </c>
      <c r="D54" s="96" t="s">
        <v>16</v>
      </c>
      <c r="E54" s="173" t="str">
        <f>IFERROR(VLOOKUP(tblCHKPWR[[#This Row],[Pin Name]],tblPWR[],3,FALSE),MSG!$B$10)</f>
        <v>SDM block I/O digital supply voltage sense.</v>
      </c>
      <c r="F54" s="81">
        <f>IFERROR(VLOOKUP(tblCHKPWR[[#This Row],[Pin Name]],tblPWR[],5,FALSE),MSG!$B$10)</f>
        <v>1</v>
      </c>
      <c r="G54" s="81" t="str">
        <f>IFERROR(VLOOKUP(tblCHKPWR[[#This Row],[Pin Name]],tblPWR_DCP[#All],2,FALSE),MSG!$D$10)</f>
        <v>Bottom-side Capacitors :1x 1uF 0201 Periphery Capacitors :—</v>
      </c>
      <c r="H54" s="81" t="str">
        <f>IFERROR(VLOOKUP(tblCHKPWR[[#This Row],[Pin Name]],tblPWR_DCP[],3,FALSE),MSG!$D$10)</f>
        <v>—</v>
      </c>
    </row>
    <row r="55" spans="1:8" ht="68" outlineLevel="1" thickBot="1">
      <c r="A55" s="81" t="s">
        <v>928</v>
      </c>
      <c r="B55" s="173" t="str">
        <f>IFERROR(VLOOKUP(tblCHKPWR[[#This Row],[Pin Name]],tblPWR[],4,FALSE),MSG!$B$10)</f>
        <v>Connect VCC_HSSI to low noise switching regulator. Refer to the Power Distribution Network Design Guidelines section in the PCB Design Guidelines User Guide: Agilex 3 FPGAs and SoCs for the decoupling capacitor requirement.
Do not tie it to GND or leave it floating if unused.</v>
      </c>
      <c r="C55" s="96" t="s">
        <v>1512</v>
      </c>
      <c r="D55" s="96" t="s">
        <v>16</v>
      </c>
      <c r="E55" s="173" t="str">
        <f>IFERROR(VLOOKUP(tblCHKPWR[[#This Row],[Pin Name]],tblPWR[],3,FALSE),MSG!$B$10)</f>
        <v>GTS transceiver digital logic power supply.
•	For the devices with speed grade –6S, it is 0.78-V.
•	For the devices with speed grade –7S, it is 0.75- V.
For more information about the supported pins, refer to the device pin-out file.</v>
      </c>
      <c r="F55" s="81">
        <f>IFERROR(VLOOKUP(tblCHKPWR[[#This Row],[Pin Name]],tblPWR[],5,FALSE),MSG!$B$10)</f>
        <v>1</v>
      </c>
      <c r="G55" s="81" t="str">
        <f>IFERROR(VLOOKUP(tblCHKPWR[[#This Row],[Pin Name]],tblPWR_DCP[#All],2,FALSE),MSG!$D$10)</f>
        <v>Bottom-side Capacitors :1x 10µF 0402 Periphery Capacitors :1x 10µF 0402</v>
      </c>
      <c r="H55" s="81" t="str">
        <f>IFERROR(VLOOKUP(tblCHKPWR[[#This Row],[Pin Name]],tblPWR_DCP[],3,FALSE),MSG!$D$10)</f>
        <v>Per transceiver bank</v>
      </c>
    </row>
    <row r="56" spans="1:8" ht="81.5" outlineLevel="1" thickBot="1">
      <c r="A56" s="81" t="s">
        <v>930</v>
      </c>
      <c r="B56" s="173" t="str">
        <f>IFERROR(VLOOKUP(tblCHKPWR[[#This Row],[Pin Name]],tblPWR[],4,FALSE),MSG!$B$10)</f>
        <v>VCCEHT_GTS should share 1.8-V rail with VCCPT through a proper isolation filtering. Refer to PCB Design Guidelines User Guide: Agilex 3 FPGAs and SoCs for fitter details and decoupling capacitor requirement.
Tie to GND if the GTS transceiver bank supports power down and you do not plan to use it in the future. Refer to GTS Transceiver PHY User Guide for GTS transceiver bank that supports power down.</v>
      </c>
      <c r="C56" s="96" t="s">
        <v>1511</v>
      </c>
      <c r="D56" s="96" t="s">
        <v>16</v>
      </c>
      <c r="E56" s="173" t="str">
        <f>IFERROR(VLOOKUP(tblCHKPWR[[#This Row],[Pin Name]],tblPWR[],3,FALSE),MSG!$B$10)</f>
        <v>GTS transceiver high-voltage analog power supply pins.
For more information about the supported pins, refer to the device pin-out file.</v>
      </c>
      <c r="F56" s="81" t="str">
        <f>IFERROR(VLOOKUP(tblCHKPWR[[#This Row],[Pin Name]],tblPWR[],5,FALSE),MSG!$B$10)</f>
        <v>2A</v>
      </c>
      <c r="G56" s="81" t="str">
        <f>IFERROR(VLOOKUP(tblCHKPWR[[#This Row],[Pin Name]],tblPWR_DCP[#All],2,FALSE),MSG!$D$10)</f>
        <v>Bottom-side Capacitors :1x 10µF 0402 Periphery Capacitors :—</v>
      </c>
      <c r="H56" s="81" t="str">
        <f>IFERROR(VLOOKUP(tblCHKPWR[[#This Row],[Pin Name]],tblPWR_DCP[],3,FALSE),MSG!$D$10)</f>
        <v>Per transceiver bank</v>
      </c>
    </row>
    <row r="57" spans="1:8" ht="68" outlineLevel="1" thickBot="1">
      <c r="A57" s="81" t="s">
        <v>931</v>
      </c>
      <c r="B57" s="173" t="str">
        <f>IFERROR(VLOOKUP(tblCHKPWR[[#This Row],[Pin Name]],tblPWR[],4,FALSE),MSG!$B$10)</f>
        <v>Connect VCCERT_GTS to 1.0-V dedicated regulator. Refer to PCB Design Guidelines User Guide: Agilex 3 FPGAs and SoCs for decoupling capacitor requirement.
Tie to GND if the GTS transceiver bank supports power down and you do not plan to use it in the future. Refer to GTS Transceiver PHY User Guide for GTS transceiver bank that supports power down.</v>
      </c>
      <c r="C57" s="97" t="s">
        <v>1516</v>
      </c>
      <c r="D57" s="97" t="s">
        <v>16</v>
      </c>
      <c r="E57" s="173" t="str">
        <f>IFERROR(VLOOKUP(tblCHKPWR[[#This Row],[Pin Name]],tblPWR[],3,FALSE),MSG!$B$10)</f>
        <v>GTS transceiver analog 1.0-V logic power pins.
For more information about the supported pins, refer to the device pin-out file.</v>
      </c>
      <c r="F57" s="81">
        <f>IFERROR(VLOOKUP(tblCHKPWR[[#This Row],[Pin Name]],tblPWR[],5,FALSE),MSG!$B$10)</f>
        <v>1</v>
      </c>
      <c r="G57" s="81" t="str">
        <f>IFERROR(VLOOKUP(tblCHKPWR[[#This Row],[Pin Name]],tblPWR_DCP[#All],2,FALSE),MSG!$D$10)</f>
        <v>Bottom-side Capacitors :1x 10µF 0402 Periphery Capacitors :1x 47µF 0805</v>
      </c>
      <c r="H57" s="81" t="str">
        <f>IFERROR(VLOOKUP(tblCHKPWR[[#This Row],[Pin Name]],tblPWR_DCP[],3,FALSE),MSG!$D$10)</f>
        <v>Per transceiver bank</v>
      </c>
    </row>
    <row r="58" spans="1:8" ht="14" outlineLevel="1" collapsed="1" thickBot="1">
      <c r="A58" s="98"/>
      <c r="B58" s="99"/>
      <c r="C58" s="100"/>
      <c r="D58" s="100"/>
      <c r="E58" s="99"/>
      <c r="F58" s="99"/>
      <c r="G58" s="99"/>
      <c r="H58" s="99"/>
    </row>
    <row r="59" spans="1:8" ht="14" outlineLevel="1" thickBot="1">
      <c r="A59" s="83" t="s">
        <v>53</v>
      </c>
      <c r="B59" s="99"/>
      <c r="C59" s="100"/>
      <c r="D59" s="100"/>
      <c r="E59" s="99"/>
      <c r="F59" s="99"/>
      <c r="G59" s="99"/>
      <c r="H59" s="99"/>
    </row>
    <row r="60" spans="1:8" ht="14" outlineLevel="2" thickBot="1">
      <c r="A60" s="83" t="s">
        <v>30</v>
      </c>
      <c r="B60" s="83" t="s">
        <v>31</v>
      </c>
      <c r="C60" s="83" t="s">
        <v>32</v>
      </c>
      <c r="D60" s="83" t="s">
        <v>33</v>
      </c>
      <c r="E60" s="83" t="s">
        <v>34</v>
      </c>
      <c r="F60" s="83" t="s">
        <v>35</v>
      </c>
      <c r="G60" s="83" t="s">
        <v>36</v>
      </c>
      <c r="H60" s="83" t="s">
        <v>37</v>
      </c>
    </row>
    <row r="61" spans="1:8" ht="81.5" outlineLevel="2" thickBot="1">
      <c r="A61" s="81" t="s">
        <v>54</v>
      </c>
      <c r="B61" s="173" t="str">
        <f>IF(varHasHPS="Yes",IFERROR(VLOOKUP(tblCHKPWRHPS[[#This Row],[Pin Name]],tblPWR[],4,FALSE),MSG!$B$10),MSG!$D$60)</f>
        <v>For the range of the VCCL_HPS power supply voltage, refer to the Agilex 3 FPGAs and SoCs Device Data Sheet. Altera recommends you share VCCL_HPS with VCC together.
If you do not intend to utilize the HPS in the Agilex 3 device, you must still provide power to the HPS power supply. Do not leave the VCCL_HPS floating or connected to GND.</v>
      </c>
      <c r="C61" s="96" t="s">
        <v>1512</v>
      </c>
      <c r="D61" s="214" t="s">
        <v>16</v>
      </c>
      <c r="E61" s="173" t="str">
        <f>IF(varHasHPS="Yes",IFERROR(VLOOKUP(tblCHKPWRHPS[[#This Row],[Pin Name]],tblPWR[],3,FALSE),MSG!$B$10),MSG!$D$60)</f>
        <v>VCCL_HPS supplies power to the HPS DSU and periphery circuitry.</v>
      </c>
      <c r="F61" s="81">
        <f>IF(varHasHPS="Yes",IFERROR(VLOOKUP(tblCHKPWRHPS[[#This Row],[Pin Name]],tblPWR[],5,FALSE),MSG!$B$10),MSG!$D$60)</f>
        <v>1</v>
      </c>
      <c r="G61" s="81" t="str">
        <f>IF(varHasHPS="Yes",IFERROR(VLOOKUP(tblCHKPWRHPS[[#This Row],[Pin Name]],tblPWR_DCP[],2,FALSE),MSG!$D$10),MSG!$D$60)</f>
        <v>Bottom-side Capacitors :2x 10uF 0402 or 3x 4.7uF 0201 Periphery Capacitors :1x 22uF 0603</v>
      </c>
      <c r="H61" s="81" t="str">
        <f>IF(varHasHPS="Yes",IFERROR(VLOOKUP(tblCHKPWRHPS[[#This Row],[Pin Name]],tblPWR_DCP[],3,FALSE),MSG!$D$10),MSG!$D$60)</f>
        <v>—</v>
      </c>
    </row>
    <row r="62" spans="1:8" ht="81.5" outlineLevel="2" thickBot="1">
      <c r="A62" s="81" t="s">
        <v>696</v>
      </c>
      <c r="B62" s="173" t="str">
        <f>IF(varHasHPS="Yes",IFERROR(VLOOKUP(tblCHKPWRHPS[[#This Row],[Pin Name]],tblPWR[],4,FALSE),MSG!$B$10),MSG!$D$60)</f>
        <v>For the range of the VCCL_HPS_CORE0_CORE1 power supply voltage, refer to the Agilex 3 FPGAs and SoCs Device Data Sheet.
VCCL_HPS_CORE0_CORE1 must be sourced from the same regulator with VCCL_HPS. Altera recommends you share this power with VCC together.
You have the option to connect this pin to GND if you do not intend to use the Cortex*-A55 cores.</v>
      </c>
      <c r="C62" s="96" t="s">
        <v>1512</v>
      </c>
      <c r="D62" s="96" t="s">
        <v>16</v>
      </c>
      <c r="E62" s="173" t="str">
        <f>IF(varHasHPS="Yes",IFERROR(VLOOKUP(tblCHKPWRHPS[[#This Row],[Pin Name]],tblPWR[],3,FALSE),MSG!$B$10),MSG!$D$60)</f>
        <v>Supply power to HPS A55 Core 0 and Core 1.</v>
      </c>
      <c r="F62" s="81">
        <f>IF(varHasHPS="Yes",IFERROR(VLOOKUP(tblCHKPWRHPS[[#This Row],[Pin Name]],tblPWR[],5,FALSE),MSG!$B$10),MSG!$D$60)</f>
        <v>1</v>
      </c>
      <c r="G62" s="81" t="str">
        <f>IF(varHasHPS="Yes",IFERROR(VLOOKUP(tblCHKPWRHPS[[#This Row],[Pin Name]],tblPWR_DCP[],2,FALSE),MSG!$D$10),MSG!$D$60)</f>
        <v>Bottom-side Capacitors :1x 1uF 0201 Periphery Capacitors :—</v>
      </c>
      <c r="H62" s="81" t="str">
        <f>IF(varHasHPS="Yes",IFERROR(VLOOKUP(tblCHKPWRHPS[[#This Row],[Pin Name]],tblPWR_DCP[],3,FALSE),MSG!$D$10),MSG!$D$60)</f>
        <v>Per HPS_CORE, CORE0_CORE1.</v>
      </c>
    </row>
    <row r="63" spans="1:8" ht="68" outlineLevel="2" thickBot="1">
      <c r="A63" s="81" t="s">
        <v>55</v>
      </c>
      <c r="B63" s="173" t="str">
        <f>IF(varHasHPS="Yes",IFERROR(VLOOKUP(tblCHKPWRHPS[[#This Row],[Pin Name]],tblPWR[],4,FALSE),MSG!$B$10),MSG!$D$60)</f>
        <v>Connect these pins to 1.8-V power supply. You have the option to source VCCIO_HPS pins from the same regulator as VCCPT.
If you do not intend to utilize the HPS in the Agilex 3 device, you must still provide power to the HPS power supply. Do not leave the VCCIO_HPS floating or connected to GND.</v>
      </c>
      <c r="C63" s="96" t="s">
        <v>1511</v>
      </c>
      <c r="D63" s="214" t="s">
        <v>16</v>
      </c>
      <c r="E63" s="173" t="str">
        <f>IF(varHasHPS="Yes",IFERROR(VLOOKUP(tblCHKPWRHPS[[#This Row],[Pin Name]],tblPWR[],3,FALSE),MSG!$B$10),MSG!$D$60)</f>
        <v>The HPS dedicated I/Os support 1.8-V voltage level.</v>
      </c>
      <c r="F63" s="81" t="str">
        <f>IF(varHasHPS="Yes",IFERROR(VLOOKUP(tblCHKPWRHPS[[#This Row],[Pin Name]],tblPWR[],5,FALSE),MSG!$B$10),MSG!$D$60)</f>
        <v>2A</v>
      </c>
      <c r="G63" s="81" t="str">
        <f>IF(varHasHPS="Yes",IFERROR(VLOOKUP(tblCHKPWRHPS[[#This Row],[Pin Name]],tblPWR_DCP[],2,FALSE),MSG!$D$10),MSG!$D$60)</f>
        <v>Bottom-side Capacitors :1x 1uF 0201 Periphery Capacitors :—</v>
      </c>
      <c r="H63" s="81" t="str">
        <f>IF(varHasHPS="Yes",IFERROR(VLOOKUP(tblCHKPWRHPS[[#This Row],[Pin Name]],tblPWR_DCP[],3,FALSE),MSG!$D$10),MSG!$D$60)</f>
        <v>—</v>
      </c>
    </row>
    <row r="64" spans="1:8" ht="68" outlineLevel="2" thickBot="1">
      <c r="A64" s="81" t="s">
        <v>1462</v>
      </c>
      <c r="B64" s="173" t="str">
        <f>IF(varHasHPS="Yes",IFERROR(VLOOKUP(tblCHKPWRHPS[[#This Row],[Pin Name]],tblPWR[],4,FALSE),MSG!$B$10),MSG!$D$60)</f>
        <v>Connect these pins to a 1.8-V power supply. You have the option to share VCCPLL1_HPS  VCCPLL2_HPS with the same regulator as VCCPLL_SDM.
If you do not intend to utilize the HPS in the Agilex 3 device, you must still provide power to the HPS power supply. Do not leave the VCCPLL1_HPS VCCPLL2_HPS floating or connected to GND.</v>
      </c>
      <c r="C64" s="96" t="s">
        <v>1511</v>
      </c>
      <c r="D64" s="96" t="s">
        <v>16</v>
      </c>
      <c r="E64" s="173" t="str">
        <f>IF(varHasHPS="Yes",IFERROR(VLOOKUP(tblCHKPWRHPS[[#This Row],[Pin Name]],tblPWR[],3,FALSE),MSG!$B$10),MSG!$D$60)</f>
        <v>Supply analog power to the main HPS PLLs.</v>
      </c>
      <c r="F64" s="81" t="str">
        <f>IF(varHasHPS="Yes",IFERROR(VLOOKUP(tblCHKPWRHPS[[#This Row],[Pin Name]],tblPWR[],5,FALSE),MSG!$B$10),MSG!$D$60)</f>
        <v>2A</v>
      </c>
      <c r="G64" s="81" t="str">
        <f>IF(varHasHPS="Yes",IFERROR(VLOOKUP(tblCHKPWRHPS[[#This Row],[Pin Name]],tblPWR_DCP[],2,FALSE),MSG!$D$10),MSG!$D$60)</f>
        <v>Bottom-side Capacitors :1x 1uF 0201 Periphery Capacitors :LC filter capacitors</v>
      </c>
      <c r="H64" s="81" t="str">
        <f>IF(varHasHPS="Yes",IFERROR(VLOOKUP(tblCHKPWRHPS[[#This Row],[Pin Name]],tblPWR_DCP[],3,FALSE),MSG!$D$10),MSG!$D$60)</f>
        <v>—</v>
      </c>
    </row>
    <row r="65" spans="1:8" ht="54.5" outlineLevel="2" thickBot="1">
      <c r="A65" s="81" t="s">
        <v>1463</v>
      </c>
      <c r="B65" s="173" t="str">
        <f>IF(varHasHPS="Yes",IFERROR(VLOOKUP(tblCHKPWRHPS[[#This Row],[Pin Name]],tblPWR[],4,FALSE),MSG!$B$10),MSG!$D$60)</f>
        <v>Connect this to the VCCL_HPS with proper isolation filtering.
If you do not intend to utilize the HPS in the Agilex 3 device, you must still provide power to the HPS power supply. Do not leave the  VCCPLLDIG1_HPS VCCPLLDIG2_HPS floating or connected to GND.</v>
      </c>
      <c r="C65" s="97" t="s">
        <v>1512</v>
      </c>
      <c r="D65" s="96" t="s">
        <v>16</v>
      </c>
      <c r="E65" s="173" t="str">
        <f>IF(varHasHPS="Yes",IFERROR(VLOOKUP(tblCHKPWRHPS[[#This Row],[Pin Name]],tblPWR[],3,FALSE),MSG!$B$10),MSG!$D$60)</f>
        <v>Digital power supply of the peripheral HPS PLLs.</v>
      </c>
      <c r="F65" s="81">
        <f>IF(varHasHPS="Yes",IFERROR(VLOOKUP(tblCHKPWRHPS[[#This Row],[Pin Name]],tblPWR[],5,FALSE),MSG!$B$10),MSG!$D$60)</f>
        <v>1</v>
      </c>
      <c r="G65" s="81" t="str">
        <f>IF(varHasHPS="Yes",IFERROR(VLOOKUP(tblCHKPWRHPS[[#This Row],[Pin Name]],tblPWR_DCP[],2,FALSE),MSG!$D$10),MSG!$D$60)</f>
        <v>Bottom-side Capacitors :1x 1uF 0201 Periphery Capacitors :LC filter capacitors</v>
      </c>
      <c r="H65" s="81" t="str">
        <f>IF(varHasHPS="Yes",IFERROR(VLOOKUP(tblCHKPWRHPS[[#This Row],[Pin Name]],tblPWR_DCP[],3,FALSE),MSG!$D$10),MSG!$D$60)</f>
        <v>—</v>
      </c>
    </row>
    <row r="66" spans="1:8" outlineLevel="1">
      <c r="B66" s="99"/>
      <c r="C66" s="60"/>
      <c r="D66" s="60"/>
      <c r="E66" s="99"/>
      <c r="F66" s="99"/>
      <c r="G66" s="99"/>
      <c r="H66" s="99"/>
    </row>
    <row r="67" spans="1:8">
      <c r="B67" s="99"/>
      <c r="C67" s="60"/>
      <c r="D67" s="60"/>
      <c r="E67" s="99"/>
      <c r="F67" s="99"/>
      <c r="G67" s="99"/>
      <c r="H67" s="99"/>
    </row>
    <row r="68" spans="1:8">
      <c r="B68" s="99"/>
      <c r="C68" s="60"/>
      <c r="D68" s="60"/>
      <c r="E68" s="99"/>
      <c r="F68" s="99"/>
      <c r="G68" s="99"/>
      <c r="H68" s="99"/>
    </row>
    <row r="69" spans="1:8" s="91" customFormat="1" ht="15">
      <c r="A69" s="82" t="s">
        <v>56</v>
      </c>
      <c r="B69" s="172"/>
      <c r="C69" s="82"/>
      <c r="D69" s="82"/>
      <c r="E69" s="172"/>
      <c r="F69" s="82"/>
    </row>
    <row r="70" spans="1:8" outlineLevel="1">
      <c r="A70" s="92"/>
      <c r="B70" s="92"/>
      <c r="C70" s="93"/>
      <c r="D70" s="101"/>
      <c r="E70" s="101"/>
      <c r="F70" s="101"/>
    </row>
    <row r="71" spans="1:8" outlineLevel="1">
      <c r="A71" s="127" t="s">
        <v>57</v>
      </c>
      <c r="B71" s="127"/>
      <c r="C71" s="93"/>
      <c r="D71" s="101"/>
      <c r="E71" s="101"/>
      <c r="F71" s="101"/>
    </row>
    <row r="72" spans="1:8" outlineLevel="1">
      <c r="A72" s="127" t="s">
        <v>58</v>
      </c>
      <c r="B72" s="151"/>
      <c r="C72" s="93"/>
      <c r="D72" s="101"/>
      <c r="E72" s="101"/>
      <c r="F72" s="101"/>
    </row>
    <row r="73" spans="1:8" outlineLevel="1">
      <c r="A73" s="127" t="s">
        <v>66</v>
      </c>
      <c r="B73" s="151"/>
      <c r="C73" s="93"/>
      <c r="D73" s="93"/>
      <c r="E73" s="101"/>
      <c r="F73" s="101"/>
    </row>
    <row r="74" spans="1:8" outlineLevel="1">
      <c r="A74" s="127" t="s">
        <v>68</v>
      </c>
      <c r="B74" s="151"/>
      <c r="C74" s="93"/>
      <c r="D74" s="93"/>
      <c r="E74" s="101"/>
      <c r="F74" s="101"/>
    </row>
    <row r="75" spans="1:8" outlineLevel="1">
      <c r="A75" s="127" t="s">
        <v>70</v>
      </c>
      <c r="B75" s="151"/>
      <c r="C75" s="101"/>
      <c r="D75" s="101"/>
      <c r="E75" s="93"/>
      <c r="F75" s="101"/>
    </row>
    <row r="76" spans="1:8" outlineLevel="1">
      <c r="A76" s="127" t="s">
        <v>71</v>
      </c>
      <c r="B76" s="151"/>
      <c r="C76" s="101"/>
      <c r="D76" s="101"/>
      <c r="E76" s="101"/>
      <c r="F76" s="101"/>
    </row>
    <row r="77" spans="1:8" outlineLevel="1">
      <c r="A77" s="127" t="s">
        <v>73</v>
      </c>
      <c r="B77" s="151"/>
      <c r="C77" s="101"/>
      <c r="D77" s="101"/>
      <c r="E77" s="101"/>
      <c r="F77" s="101"/>
    </row>
    <row r="78" spans="1:8" outlineLevel="1">
      <c r="A78" s="127" t="s">
        <v>74</v>
      </c>
      <c r="B78" s="151"/>
      <c r="C78" s="101"/>
      <c r="D78" s="101"/>
      <c r="E78" s="101"/>
      <c r="F78" s="101"/>
    </row>
    <row r="79" spans="1:8" outlineLevel="1">
      <c r="A79" s="127" t="s">
        <v>76</v>
      </c>
      <c r="B79" s="151"/>
      <c r="C79" s="101"/>
      <c r="D79" s="101"/>
      <c r="E79" s="101"/>
      <c r="F79" s="101"/>
    </row>
    <row r="80" spans="1:8" ht="14" outlineLevel="1" thickBot="1">
      <c r="A80" s="92"/>
      <c r="B80" s="103"/>
      <c r="C80" s="93"/>
      <c r="D80" s="101"/>
      <c r="E80" s="101"/>
      <c r="F80" s="101"/>
    </row>
    <row r="81" spans="1:6" ht="14" outlineLevel="1" thickBot="1">
      <c r="A81" s="83" t="s">
        <v>30</v>
      </c>
      <c r="B81" s="83" t="s">
        <v>31</v>
      </c>
      <c r="C81" s="83" t="s">
        <v>32</v>
      </c>
      <c r="D81" s="83" t="s">
        <v>33</v>
      </c>
      <c r="E81" s="83" t="s">
        <v>34</v>
      </c>
      <c r="F81" s="83" t="s">
        <v>78</v>
      </c>
    </row>
    <row r="82" spans="1:6" ht="162.5" outlineLevel="1" thickBot="1">
      <c r="A82" s="81" t="s">
        <v>79</v>
      </c>
      <c r="B82" s="173" t="str">
        <f>IFERROR(VLOOKUP(tblCHKSDM[[#This Row],[Signal Name]],tblSDM[],4,FALSE),MSG!$B$10)</f>
        <v>Connect this pin through a 1-kΩ pull-down resistor to GND.
If you plan to use either the attestation or Black Key
Provisioning (BKP) security features, or both, do not connect this pin to GND. Connect the TCK pin to the VCCIO_SDM supply using a 10-kΩ pull-up resistor.</v>
      </c>
      <c r="C82" s="104" t="s">
        <v>1538</v>
      </c>
      <c r="D82" s="104" t="s">
        <v>16</v>
      </c>
      <c r="E82" s="173" t="str">
        <f>IFERROR(VLOOKUP(tblCHKSDM[[#This Row],[Signal Name]],tblSDM[],3,FALSE),MSG!$B$10)</f>
        <v>Dedicated JTAG test clock input pin located in the Secure Device Manager (SDM) bank.
You can also use this pin to access the HPS JTAG chain. For more information, refer to the HPS JTAG Pins section.
This pin supports the 1.8-V single-ended I/O standard.
This pin has an internal 20-kΩ pull-down resistor.
JTAG clock speed is 33 MHz for JTAG split mode. In the JTAG split mode, the SDM JTAG mode is independent of the HPS JTAG.
JTAG clock speed is 22 MHz for JTAG daisy-chain mode. In the JTAG daisy-chain mode, the HPS DAP TAP is daisy chained with the SDM mTAP.</v>
      </c>
      <c r="F82" s="81" t="str">
        <f>tblCHKSDM[[#This Row],[Pin Name]]</f>
        <v>TCK</v>
      </c>
    </row>
    <row r="83" spans="1:6" ht="81.5" outlineLevel="1" thickBot="1">
      <c r="A83" s="81" t="s">
        <v>80</v>
      </c>
      <c r="B83" s="173" t="str">
        <f>IFERROR(VLOOKUP(tblCHKSDM[[#This Row],[Signal Name]],tblSDM[],4,FALSE),MSG!$B$10)</f>
        <v>Connect this pin to a 1-kΩ – 10-kΩ pull-up resistor to the VCCIO_SDM supply. If the JTAG interface is not used, connect the TMS pin to the VCCIO_SDM supply using a 1-kΩ resistor.</v>
      </c>
      <c r="C83" s="104" t="s">
        <v>1527</v>
      </c>
      <c r="D83" s="104" t="s">
        <v>16</v>
      </c>
      <c r="E83" s="173" t="str">
        <f>IFERROR(VLOOKUP(tblCHKSDM[[#This Row],[Signal Name]],tblSDM[],3,FALSE),MSG!$B$10)</f>
        <v>Dedicated JTAG test mode select input pin located in the SDM bank.
You can also use this pin to access the HPS JTAG chain. For more information, refer to the HPS JTAG Pins section.
This pin supports the 1.8-V single-ended I/O standard.
This pin has an internal 20-kΩ pull-up resistor.</v>
      </c>
      <c r="F83" s="81" t="str">
        <f>tblCHKSDM[[#This Row],[Pin Name]]</f>
        <v>TMS</v>
      </c>
    </row>
    <row r="84" spans="1:6" ht="68" outlineLevel="1" thickBot="1">
      <c r="A84" s="81" t="s">
        <v>81</v>
      </c>
      <c r="B84" s="173" t="str">
        <f>IFERROR(VLOOKUP(tblCHKSDM[[#This Row],[Signal Name]],tblSDM[],4,FALSE),MSG!$B$10)</f>
        <v>If the JTAG interface is not used, leave the TDO pin unconnected.</v>
      </c>
      <c r="C84" s="104" t="s">
        <v>1539</v>
      </c>
      <c r="D84" s="104" t="s">
        <v>16</v>
      </c>
      <c r="E84" s="173" t="str">
        <f>IFERROR(VLOOKUP(tblCHKSDM[[#This Row],[Signal Name]],tblSDM[],3,FALSE),MSG!$B$10)</f>
        <v>Dedicated JTAG test data output pin located in the SDM bank.
You can also use this pin to access the HPS JTAG chain. For more information, refer to the HPS JTAG Pins section.
This pin supports the 1.8-V single-ended I/O standard.</v>
      </c>
      <c r="F84" s="81" t="str">
        <f>tblCHKSDM[[#This Row],[Pin Name]]</f>
        <v>TDO</v>
      </c>
    </row>
    <row r="85" spans="1:6" ht="81.5" outlineLevel="1" thickBot="1">
      <c r="A85" s="81" t="s">
        <v>82</v>
      </c>
      <c r="B85" s="173" t="str">
        <f>IFERROR(VLOOKUP(tblCHKSDM[[#This Row],[Signal Name]],tblSDM[],4,FALSE),MSG!$B$10)</f>
        <v>Connect this pin to a 1-kΩ – 10-kΩ pull-up resistor to the VCCIO_SDM supply. If the JTAG interface is not used, connect the TDI pin to the VCCIO_SDM supply using a 1-kΩ resistor.</v>
      </c>
      <c r="C85" s="104" t="s">
        <v>1539</v>
      </c>
      <c r="D85" s="104" t="s">
        <v>16</v>
      </c>
      <c r="E85" s="173" t="str">
        <f>IFERROR(VLOOKUP(tblCHKSDM[[#This Row],[Signal Name]],tblSDM[],3,FALSE),MSG!$B$10)</f>
        <v>Dedicated JTAG test data input pin located in the SDM bank.
You can also use this pin to access the HPS JTAG chain. For more information, refer to the HPS JTAG Pins section.
This pin supports the 1.8-V single-ended I/O standard.
This pin has an internal 20-kΩ pull-up resistor.</v>
      </c>
      <c r="F85" s="81" t="str">
        <f>tblCHKSDM[[#This Row],[Pin Name]]</f>
        <v>TDI</v>
      </c>
    </row>
    <row r="86" spans="1:6" ht="108.5" outlineLevel="1" thickBot="1">
      <c r="A86" s="81" t="s">
        <v>83</v>
      </c>
      <c r="B86" s="173" t="str">
        <f>IFERROR(VLOOKUP(tblCHKSDM[[#This Row],[Signal Name]],tblSDM[],4,FALSE),MSG!$B$10)</f>
        <v>When you are using the Avalon® streaming configuration scheme, connect this pin to the configuration host.
For other configuration schemes, use this pin to monitor the configuration status.
You must pull up this pin through a 10-kΩ resistor to VCCIO_SDM for all configuration schemes.</v>
      </c>
      <c r="C86" s="104" t="s">
        <v>1527</v>
      </c>
      <c r="D86" s="104" t="s">
        <v>16</v>
      </c>
      <c r="E86" s="173" t="str">
        <f>IFERROR(VLOOKUP(tblCHKSDM[[#This Row],[Signal Name]],tblSDM[],3,FALSE),MSG!$B$10)</f>
        <v>Configuration status pin. This pin is used for synchronization with the configuration host driving nCONFIG and to report errors.
This pin supports the 1.8-V single-ended I/O standard.
This pin has an internal 20-kΩ pull-up resistor.
The drive strength is 8 mA.
Attention: Ensure that during power up, no external component drives the nSTATUS signal low.</v>
      </c>
      <c r="F86" s="81" t="str">
        <f>tblCHKSDM[[#This Row],[Pin Name]]</f>
        <v>nSTATUS</v>
      </c>
    </row>
    <row r="87" spans="1:6" ht="95" outlineLevel="1" thickBot="1">
      <c r="A87" s="81" t="s">
        <v>84</v>
      </c>
      <c r="B87" s="173" t="str">
        <f>IFERROR(VLOOKUP(tblCHKSDM[[#This Row],[Signal Name]],tblSDM[],4,FALSE),MSG!$B$10)</f>
        <v>When you use the Avalon streaming configuration scheme, connect this pin to the configuration host.
When you use other configuration schemes, pull this pin to
VCCIO_SDM through an external 10-KΩ pull-up resistor. Use this pin to restart configuration by driving it low and then high again. Ensure that you follow all the requirements for the nCONFIG operation as specified in the Device Configuration User Guide: Agilex 3 FPGAs and SoCs.</v>
      </c>
      <c r="C87" s="104" t="s">
        <v>1527</v>
      </c>
      <c r="D87" s="104" t="s">
        <v>16</v>
      </c>
      <c r="E87" s="173" t="str">
        <f>IFERROR(VLOOKUP(tblCHKSDM[[#This Row],[Signal Name]],tblSDM[],3,FALSE),MSG!$B$10)</f>
        <v>The nCONFIG pin is used to clear the device and prepare for reconfiguration.
This pin supports the 1.8-V single-ended I/O standard.
This pin has an internal 20-kΩ pull-up resistor.</v>
      </c>
      <c r="F87" s="81" t="str">
        <f>tblCHKSDM[[#This Row],[Pin Name]]</f>
        <v>nCONFIG</v>
      </c>
    </row>
    <row r="88" spans="1:6" ht="122" outlineLevel="1" thickBot="1">
      <c r="A88" s="81" t="s">
        <v>85</v>
      </c>
      <c r="B88" s="173" t="str">
        <f>IFERROR(VLOOKUP(tblCHKSDM[[#This Row],[Signal Name]],tblSDM[],4,FALSE),MSG!$B$10)</f>
        <v>If you use transceivers, MIPI, EMIF, and PHY Lite interfaces, you must provide an external clock source to this pin.
If you choose to use either the external clock source for configuration or instantiate any transceivers, MIPI, EMIF, and PHY Lite interfaces in your design, or both, you must provide a 25-MHz, 100-MHz, or 125-MHz free-running clock source to this pin and enable it in the Quartus Prime software when you compile your design.
If you are using the internal oscillator for configuration and do not instantiate any transceivers, MIPI, EMIF, and PHY Lite interfaces in your design, leave this pin unconnected.</v>
      </c>
      <c r="C88" s="104" t="s">
        <v>1528</v>
      </c>
      <c r="D88" s="104" t="s">
        <v>16</v>
      </c>
      <c r="E88" s="173" t="str">
        <f>IFERROR(VLOOKUP(tblCHKSDM[[#This Row],[Signal Name]],tblSDM[],3,FALSE),MSG!$B$10)</f>
        <v>Reference clock source for SDM PLL.
Use this pin as the clock for device configuration and transceiver calibration.
This pin supports the 1.8-V single-ended I/O standard.
This pin has an internal 20-kΩ pull-down resistor.</v>
      </c>
      <c r="F88" s="81" t="str">
        <f>tblCHKSDM[[#This Row],[Pin Name]]</f>
        <v>OSC_CLK_1</v>
      </c>
    </row>
    <row r="89" spans="1:6" ht="14" outlineLevel="1" thickBot="1">
      <c r="A89" s="81" t="s">
        <v>605</v>
      </c>
      <c r="B89" s="173" t="str">
        <f>IF($C$18="AVSTX16",IFERROR(VLOOKUP(tblCHKSDM[[#This Row],[Signal Name]],tblSDM[],4,FALSE),MSG!$B$10),"Unused")</f>
        <v>Unused</v>
      </c>
      <c r="C89" s="104" t="s">
        <v>22</v>
      </c>
      <c r="D89" s="104" t="s">
        <v>22</v>
      </c>
      <c r="E89" s="173" t="str">
        <f>IF($C$18="AVSTX16",IFERROR(VLOOKUP(tblCHKSDM[[#This Row],[Signal Name]],tblSDM[],3,FALSE),MSG!$B$10),"Unused")</f>
        <v>Unused</v>
      </c>
      <c r="F89" s="81" t="str">
        <f>tblCHKSDM[[#This Row],[Pin Name]]</f>
        <v>AVST_DATA[15:0]</v>
      </c>
    </row>
    <row r="90" spans="1:6" ht="27.5" outlineLevel="1" thickBot="1">
      <c r="A90" s="81" t="s">
        <v>1162</v>
      </c>
      <c r="B90" s="173" t="str">
        <f>IF($C$18="AVSTX16",IFERROR(VLOOKUP(tblCHKSDM[[#This Row],[Signal Name]],tblSDM[],4,FALSE),MSG!$B$10),"Unused")</f>
        <v>Unused</v>
      </c>
      <c r="C90" s="104" t="s">
        <v>22</v>
      </c>
      <c r="D90" s="104" t="s">
        <v>22</v>
      </c>
      <c r="E90" s="173" t="str">
        <f>IF($C$18="AVSTX16",IFERROR(VLOOKUP(tblCHKSDM[[#This Row],[Signal Name]],tblSDM[],3,FALSE),MSG!$B$10),"Unused")</f>
        <v>Unused</v>
      </c>
      <c r="F90" s="81" t="str">
        <f>tblCHKSDM[[#This Row],[Pin Name]]</f>
        <v>AVST_READY(3ATbank)</v>
      </c>
    </row>
    <row r="91" spans="1:6" ht="14" outlineLevel="1" thickBot="1">
      <c r="A91" s="81" t="s">
        <v>1165</v>
      </c>
      <c r="B91" s="173" t="str">
        <f>IF($C$18="AVSTX16",IFERROR(VLOOKUP(tblCHKSDM[[#This Row],[Signal Name]],tblSDM[],4,FALSE),MSG!$B$10),"Unused")</f>
        <v>Unused</v>
      </c>
      <c r="C91" s="104" t="s">
        <v>22</v>
      </c>
      <c r="D91" s="104" t="s">
        <v>22</v>
      </c>
      <c r="E91" s="173" t="str">
        <f>IF($C$18="AVSTX16",IFERROR(VLOOKUP(tblCHKSDM[[#This Row],[Signal Name]],tblSDM[],3,FALSE),MSG!$B$10),"Unused")</f>
        <v>Unused</v>
      </c>
      <c r="F91" s="81" t="str">
        <f>tblCHKSDM[[#This Row],[Pin Name]]</f>
        <v>AVST_CLK(3ATbank)</v>
      </c>
    </row>
    <row r="92" spans="1:6" ht="14" outlineLevel="1" thickBot="1">
      <c r="A92" s="81" t="s">
        <v>1167</v>
      </c>
      <c r="B92" s="173" t="str">
        <f>IF($C$18="AVSTX16",IFERROR(VLOOKUP(tblCHKSDM[[#This Row],[Signal Name]],tblSDM[],4,FALSE),MSG!$B$10),"Unused")</f>
        <v>Unused</v>
      </c>
      <c r="C92" s="104" t="s">
        <v>22</v>
      </c>
      <c r="D92" s="104" t="s">
        <v>22</v>
      </c>
      <c r="E92" s="173" t="str">
        <f>IF($C$18="AVSTX16",IFERROR(VLOOKUP(tblCHKSDM[[#This Row],[Signal Name]],tblSDM[],3,FALSE),MSG!$B$10),"Unused")</f>
        <v>Unused</v>
      </c>
      <c r="F92" s="81" t="str">
        <f>tblCHKSDM[[#This Row],[Pin Name]]</f>
        <v>AVST_VALID(3ATbank)</v>
      </c>
    </row>
    <row r="93" spans="1:6" ht="14" outlineLevel="1" thickBot="1">
      <c r="A93" s="81" t="s">
        <v>86</v>
      </c>
      <c r="B93" s="173" t="str">
        <f>IFERROR(VLOOKUP(tblCHKSDM[[#This Row],[Signal Name]],tblSDM[],4,FALSE),MSG!$B$10)</f>
        <v>Connect a 2-kΩ ±1% resistor to GND.</v>
      </c>
      <c r="C93" s="104" t="s">
        <v>1533</v>
      </c>
      <c r="D93" s="104" t="s">
        <v>16</v>
      </c>
      <c r="E93" s="173" t="str">
        <f>IFERROR(VLOOKUP(tblCHKSDM[[#This Row],[Signal Name]],tblSDM[],3,FALSE),MSG!$B$10)</f>
        <v>Reference resistor input for the PLLs of the SDM interface.</v>
      </c>
      <c r="F93" s="81" t="str">
        <f>tblCHKSDM[[#This Row],[Pin Name]]</f>
        <v>RREF_SDM</v>
      </c>
    </row>
    <row r="94" spans="1:6" ht="41" outlineLevel="1" thickBot="1">
      <c r="A94" s="81" t="s">
        <v>69</v>
      </c>
      <c r="B94" s="173" t="str">
        <f>IFERROR(VLOOKUP(tblCHKSDM[[#This Row],[Pin Name]],tblSDM[],2,FALSE)&amp;CHAR(10)&amp;VLOOKUP(tblCHKSDM[[#This Row],[Signal Name]],tblSDMIO[],2,FALSE),MSG!$B$10)</f>
        <v xml:space="preserve">
This pin is not used. </v>
      </c>
      <c r="C94" s="104" t="s">
        <v>1535</v>
      </c>
      <c r="D94" s="104" t="s">
        <v>814</v>
      </c>
      <c r="E94" s="173" t="str">
        <f>IFERROR(VLOOKUP(tblCHKSDM[[#This Row],[Pin Name]],tblSDM[],3,FALSE)&amp;CHAR(10)&amp;VLOOKUP(tblCHKSDM[[#This Row],[Signal Name]],tblSDMIO[],3,FALSE),MSG!$B$10)</f>
        <v xml:space="preserve">This pin is pulled low internally by a 20kΩ resistor when the device is powered up.
This pin is not used. </v>
      </c>
      <c r="F94" s="81" t="str">
        <f>IFERROR(VLOOKUP(tblCHKSDM[[#This Row],[Pin Name]],SDMIO_assign!F4:G20,2,FALSE),MSG!$E$10)</f>
        <v>Unused</v>
      </c>
    </row>
    <row r="95" spans="1:6" ht="81.5" outlineLevel="1" thickBot="1">
      <c r="A95" s="81" t="s">
        <v>87</v>
      </c>
      <c r="B95" s="173" t="str">
        <f>IFERROR(VLOOKUP(tblCHKSDM[[#This Row],[Pin Name]],tblSDM[],2,FALSE)&amp;CHAR(10)&amp;VLOOKUP(tblCHKSDM[[#This Row],[Signal Name]],tblSDMIO[],3,FALSE),MSG!$B$10)</f>
        <v xml:space="preserve">
Connect this pin to the data1 pin of the QSPI flash device when configuring from the QSPI flash device.</v>
      </c>
      <c r="C95" s="104" t="s">
        <v>16</v>
      </c>
      <c r="D95" s="104" t="s">
        <v>16</v>
      </c>
      <c r="E95"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data1 pin of the QSPI flash device when configuring from the QSPI flash device.</v>
      </c>
      <c r="F95" s="81" t="str">
        <f>IFERROR(VLOOKUP(tblCHKSDM[[#This Row],[Pin Name]],SDMIO_assign!F5:G21,2,FALSE),MSG!$E$10)</f>
        <v>AS_DATA1</v>
      </c>
    </row>
    <row r="96" spans="1:6" ht="81.5" outlineLevel="1" thickBot="1">
      <c r="A96" s="81" t="s">
        <v>88</v>
      </c>
      <c r="B96" s="173" t="str">
        <f>IFERROR(VLOOKUP(tblCHKSDM[[#This Row],[Pin Name]],tblSDM[],2,FALSE)&amp;CHAR(10)&amp;VLOOKUP(tblCHKSDM[[#This Row],[Signal Name]],tblSDMIO[],3,FALSE),MSG!$B$10)</f>
        <v xml:space="preserve">
Connect this pin to the clock input of the QSPI flash device when configuring from the QSPI flash device.</v>
      </c>
      <c r="C96" s="104" t="s">
        <v>16</v>
      </c>
      <c r="D96" s="104" t="s">
        <v>16</v>
      </c>
      <c r="E96"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clock input of the QSPI flash device when configuring from the QSPI flash device.</v>
      </c>
      <c r="F96" s="81" t="str">
        <f>IFERROR(VLOOKUP(tblCHKSDM[[#This Row],[Pin Name]],SDMIO_assign!F6:G22,2,FALSE),MSG!$E$10)</f>
        <v>AS_CLK</v>
      </c>
    </row>
    <row r="97" spans="1:6" ht="81.5" outlineLevel="1" thickBot="1">
      <c r="A97" s="81" t="s">
        <v>89</v>
      </c>
      <c r="B97" s="173" t="str">
        <f>IFERROR(VLOOKUP(tblCHKSDM[[#This Row],[Pin Name]],tblSDM[],2,FALSE)&amp;CHAR(10)&amp;VLOOKUP(tblCHKSDM[[#This Row],[Signal Name]],tblSDMIO[],3,FALSE),MSG!$B$10)</f>
        <v xml:space="preserve">
Connect this pin to the data2 pin of the QSPI flash device when configuring from the QSPI flash device.</v>
      </c>
      <c r="C97" s="104" t="s">
        <v>16</v>
      </c>
      <c r="D97" s="104" t="s">
        <v>16</v>
      </c>
      <c r="E97"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data2 pin of the QSPI flash device when configuring from the QSPI flash device.</v>
      </c>
      <c r="F97" s="81" t="str">
        <f>IFERROR(VLOOKUP(tblCHKSDM[[#This Row],[Pin Name]],SDMIO_assign!F7:G23,2,FALSE),MSG!$E$10)</f>
        <v>AS_DATA2</v>
      </c>
    </row>
    <row r="98" spans="1:6" ht="81.5" outlineLevel="1" thickBot="1">
      <c r="A98" s="81" t="s">
        <v>90</v>
      </c>
      <c r="B98" s="173" t="str">
        <f>IFERROR(VLOOKUP(tblCHKSDM[[#This Row],[Pin Name]],tblSDM[],2,FALSE)&amp;CHAR(10)&amp;VLOOKUP(tblCHKSDM[[#This Row],[Signal Name]],tblSDMIO[],3,FALSE),MSG!$B$10)</f>
        <v xml:space="preserve">
Connect this pin to the data0 pin of the QSPI flash device when configuring from the QSPI flash device.</v>
      </c>
      <c r="C98" s="104" t="s">
        <v>16</v>
      </c>
      <c r="D98" s="104" t="s">
        <v>16</v>
      </c>
      <c r="E98"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data0 pin of the QSPI flash device when configuring from the QSPI flash device.</v>
      </c>
      <c r="F98" s="81" t="str">
        <f>IFERROR(VLOOKUP(tblCHKSDM[[#This Row],[Pin Name]],SDMIO_assign!F8:G24,2,FALSE),MSG!$E$10)</f>
        <v>AS_DATA0</v>
      </c>
    </row>
    <row r="99" spans="1:6" ht="135.5" outlineLevel="1" thickBot="1">
      <c r="A99" s="81" t="s">
        <v>91</v>
      </c>
      <c r="B99" s="173" t="str">
        <f>IFERROR(VLOOKUP(tblCHKSDM[[#This Row],[Pin Name]],tblSDM[],2,FALSE)&amp;CHAR(10)&amp;VLOOKUP(tblCHKSDM[[#This Row],[Signal Name]],tblSDMIO[],3,FALSE),MSG!$B$10)</f>
        <v xml:space="preserve">
Connect this pin to the nCS input of the first QSPI flash device when configuring from QSPI flash devices.</v>
      </c>
      <c r="C99" s="104" t="s">
        <v>16</v>
      </c>
      <c r="D99" s="104" t="s">
        <v>16</v>
      </c>
      <c r="E99" s="173" t="str">
        <f>IFERROR(VLOOKUP(tblCHKSDM[[#This Row],[Pin Name]],tblSDM[],3,FALSE)&amp;CHAR(10)&amp;VLOOKUP(tblCHKSDM[[#This Row],[Signal Name]],tblSDMIO[],3,FALSE),MSG!$B$10)</f>
        <v>This pin is pulled high internally by a 20kΩ resistor when the device is powered up.
This pin functions as MSEL[0] during power up and reset to determine the configuration scheme. Once the pin completes the MSEL function, it then functions according to the configuration scheme you have selected.
For more information, refer to the Device Configuration User Guide: Agilex 3 FPGAs and SoCs.
Connect this pin to the nCS input of the first QSPI flash device when configuring from QSPI flash devices.</v>
      </c>
      <c r="F99" s="81" t="str">
        <f>IFERROR(VLOOKUP(tblCHKSDM[[#This Row],[Pin Name]],SDMIO_assign!F9:G25,2,FALSE),MSG!$E$10)</f>
        <v>AS_nCSO0</v>
      </c>
    </row>
    <row r="100" spans="1:6" ht="81.5" outlineLevel="1" thickBot="1">
      <c r="A100" s="81" t="s">
        <v>92</v>
      </c>
      <c r="B100" s="173" t="str">
        <f>IFERROR(VLOOKUP(tblCHKSDM[[#This Row],[Pin Name]],tblSDM[],2,FALSE)&amp;CHAR(10)&amp;VLOOKUP(tblCHKSDM[[#This Row],[Signal Name]],tblSDMIO[],3,FALSE),MSG!$B$10)</f>
        <v xml:space="preserve">
Connect this pin to the data3 pin of the QSPI flash device when configuring from the QSPI flash device.</v>
      </c>
      <c r="C100" s="104" t="s">
        <v>16</v>
      </c>
      <c r="D100" s="104" t="s">
        <v>16</v>
      </c>
      <c r="E100"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data3 pin of the QSPI flash device when configuring from the QSPI flash device.</v>
      </c>
      <c r="F100" s="81" t="str">
        <f>IFERROR(VLOOKUP(tblCHKSDM[[#This Row],[Pin Name]],SDMIO_assign!F10:G26,2,FALSE),MSG!$E$10)</f>
        <v>AS_DATA3</v>
      </c>
    </row>
    <row r="101" spans="1:6" ht="162.5" outlineLevel="1" thickBot="1">
      <c r="A101" s="81" t="s">
        <v>93</v>
      </c>
      <c r="B101" s="173" t="str">
        <f>IFERROR(VLOOKUP(tblCHKSDM[[#This Row],[Pin Name]],tblSDM[],2,FALSE)&amp;CHAR(10)&amp;VLOOKUP(tblCHKSDM[[#This Row],[Signal Name]],tblSDMIO[],3,FALSE),MSG!$B$10)</f>
        <v xml:space="preserve">
Connect this pin to the nCS input of the third QSPI flash device when you use cascaded QSPI flash devices for HPS application and with Mailbox Client IP or HPS as data storage.</v>
      </c>
      <c r="C101" s="104" t="s">
        <v>1529</v>
      </c>
      <c r="D101" s="104" t="s">
        <v>16</v>
      </c>
      <c r="E101" s="173" t="str">
        <f>IFERROR(VLOOKUP(tblCHKSDM[[#This Row],[Pin Name]],tblSDM[],3,FALSE)&amp;CHAR(10)&amp;VLOOKUP(tblCHKSDM[[#This Row],[Signal Name]],tblSDMIO[],3,FALSE),MSG!$B$10)</f>
        <v>This pin is pulled high internally by a 20kΩ resistor when the device is powered up.
This pin functions as MSEL[1] during power up to determines the configuration scheme. Once the pin completes the MSEL function, it then functions according to the configuration scheme you have selected.
For more information, refer to the Device Configuration User Guide: Agilex 3 FPGAs and SoCs.
Connect this pin to the nCS input of the third QSPI flash device when you use cascaded QSPI flash devices for HPS application and with Mailbox Client IP or HPS as data storage.</v>
      </c>
      <c r="F101" s="81" t="str">
        <f>IFERROR(VLOOKUP(tblCHKSDM[[#This Row],[Pin Name]],SDMIO_assign!F11:G27,2,FALSE),MSG!$E$10)</f>
        <v>AS_nCSO2</v>
      </c>
    </row>
    <row r="102" spans="1:6" ht="108.5" outlineLevel="1" thickBot="1">
      <c r="A102" s="81" t="s">
        <v>94</v>
      </c>
      <c r="B102" s="173" t="str">
        <f>IFERROR(VLOOKUP(tblCHKSDM[[#This Row],[Pin Name]],tblSDM[],2,FALSE)&amp;CHAR(10)&amp;VLOOKUP(tblCHKSDM[[#This Row],[Signal Name]],tblSDMIO[],3,FALSE),MSG!$B$10)</f>
        <v xml:space="preserve">
Connect this pin to the nCS input of the fourth QSPI flash device when you use cascaded QSPI flash devices for HPS application and with Mailbox Client IP or HPS as data storage.</v>
      </c>
      <c r="C102" s="104" t="s">
        <v>1530</v>
      </c>
      <c r="D102" s="104" t="s">
        <v>16</v>
      </c>
      <c r="E102" s="173" t="str">
        <f>IFERROR(VLOOKUP(tblCHKSDM[[#This Row],[Pin Name]],tblSDM[],3,FALSE)&amp;CHAR(10)&amp;VLOOKUP(tblCHKSDM[[#This Row],[Signal Name]],tblSDMIO[],3,FALSE),MSG!$B$10)</f>
        <v>This pin is pulled low internally by a 20kΩ resistor when the device is powered up.
This pin functions differently depending on the configuration scheme used by setting the MSEL pins.
Connect this pin to the nCS input of the fourth QSPI flash device when you use cascaded QSPI flash devices for HPS application and with Mailbox Client IP or HPS as data storage.</v>
      </c>
      <c r="F102" s="81" t="str">
        <f>IFERROR(VLOOKUP(tblCHKSDM[[#This Row],[Pin Name]],SDMIO_assign!F12:G28,2,FALSE),MSG!$E$10)</f>
        <v>AS_nCSO3</v>
      </c>
    </row>
    <row r="103" spans="1:6" ht="162.5" outlineLevel="1" thickBot="1">
      <c r="A103" s="81" t="s">
        <v>95</v>
      </c>
      <c r="B103" s="173" t="str">
        <f>IFERROR(VLOOKUP(tblCHKSDM[[#This Row],[Pin Name]],tblSDM[],2,FALSE)&amp;CHAR(10)&amp;VLOOKUP(tblCHKSDM[[#This Row],[Signal Name]],tblSDMIO[],3,FALSE),MSG!$B$10)</f>
        <v xml:space="preserve">
Connect this pin to the nCS input of the second QSPI flash device when you use cascaded QSPI flash devices for HPS application and with Mailbox Client IP or HPS as data storage.</v>
      </c>
      <c r="C103" s="104" t="s">
        <v>1531</v>
      </c>
      <c r="D103" s="104" t="s">
        <v>16</v>
      </c>
      <c r="E103" s="173" t="str">
        <f>IFERROR(VLOOKUP(tblCHKSDM[[#This Row],[Pin Name]],tblSDM[],3,FALSE)&amp;CHAR(10)&amp;VLOOKUP(tblCHKSDM[[#This Row],[Signal Name]],tblSDMIO[],3,FALSE),MSG!$B$10)</f>
        <v>This pin is pulled high internally by a 20kΩ resistor when the device is powered up.
This pin functions as MSEL[2] during power up to determines the configuration scheme. Once the pin completes the MSEL function, it then functions according to the configuration scheme you have selected.
For more information, refer to the Device Configuration User Guide: Agilex 3 FPGAs and SoCs.
Connect this pin to the nCS input of the second QSPI flash device when you use cascaded QSPI flash devices for HPS application and with Mailbox Client IP or HPS as data storage.</v>
      </c>
      <c r="F103" s="81" t="str">
        <f>IFERROR(VLOOKUP(tblCHKSDM[[#This Row],[Pin Name]],SDMIO_assign!F13:G29,2,FALSE),MSG!$E$10)</f>
        <v>AS_nCSO1</v>
      </c>
    </row>
    <row r="104" spans="1:6" ht="68" outlineLevel="1" thickBot="1">
      <c r="A104" s="81" t="s">
        <v>72</v>
      </c>
      <c r="B104" s="173" t="str">
        <f>IFERROR(VLOOKUP(tblCHKSDM[[#This Row],[Pin Name]],tblSDM[],2,FALSE)&amp;CHAR(10)&amp;VLOOKUP(tblCHKSDM[[#This Row],[Signal Name]],tblSDMIO[],3,FALSE),MSG!$B$10)</f>
        <v xml:space="preserve">
This pin is not used. </v>
      </c>
      <c r="C104" s="104" t="s">
        <v>1536</v>
      </c>
      <c r="D104" s="104" t="s">
        <v>16</v>
      </c>
      <c r="E104"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4" s="81" t="str">
        <f>IFERROR(VLOOKUP(tblCHKSDM[[#This Row],[Pin Name]],SDMIO_assign!F14:G30,2,FALSE),MSG!$E$10)</f>
        <v>Unused</v>
      </c>
    </row>
    <row r="105" spans="1:6" ht="68" outlineLevel="1" thickBot="1">
      <c r="A105" s="81" t="s">
        <v>63</v>
      </c>
      <c r="B105" s="173" t="str">
        <f>IFERROR(VLOOKUP(tblCHKSDM[[#This Row],[Pin Name]],tblSDM[],2,FALSE)&amp;CHAR(10)&amp;VLOOKUP(tblCHKSDM[[#This Row],[Signal Name]],tblSDMIO[],3,FALSE),MSG!$B$10)</f>
        <v xml:space="preserve">
This pin is not used. </v>
      </c>
      <c r="C105" s="104" t="s">
        <v>1527</v>
      </c>
      <c r="D105" s="104" t="s">
        <v>16</v>
      </c>
      <c r="E105"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5" s="81" t="str">
        <f>IFERROR(VLOOKUP(tblCHKSDM[[#This Row],[Pin Name]],SDMIO_assign!F15:G31,2,FALSE),MSG!$E$10)</f>
        <v>Unused</v>
      </c>
    </row>
    <row r="106" spans="1:6" ht="41" outlineLevel="1" thickBot="1">
      <c r="A106" s="81" t="s">
        <v>77</v>
      </c>
      <c r="B106" s="173" t="str">
        <f>IFERROR(VLOOKUP(tblCHKSDM[[#This Row],[Pin Name]],tblSDM[],2,FALSE)&amp;CHAR(10)&amp;VLOOKUP(tblCHKSDM[[#This Row],[Signal Name]],tblSDMIO[],3,FALSE),MSG!$B$10)</f>
        <v xml:space="preserve">
This pin is not used. </v>
      </c>
      <c r="C106" s="104" t="s">
        <v>1534</v>
      </c>
      <c r="D106" s="104" t="s">
        <v>16</v>
      </c>
      <c r="E106" s="173" t="str">
        <f>IFERROR(VLOOKUP(tblCHKSDM[[#This Row],[Pin Name]],tblSDM[],3,FALSE)&amp;CHAR(10)&amp;VLOOKUP(tblCHKSDM[[#This Row],[Signal Name]],tblSDMIO[],3,FALSE),MSG!$B$10)</f>
        <v xml:space="preserve">This pin is pulled high internally by a 20kΩ resistor when the device is powered up.
This pin is not used. </v>
      </c>
      <c r="F106" s="81" t="str">
        <f>IFERROR(VLOOKUP(tblCHKSDM[[#This Row],[Pin Name]],SDMIO_assign!F16:G32,2,FALSE),MSG!$E$10)</f>
        <v>Unused</v>
      </c>
    </row>
    <row r="107" spans="1:6" ht="68" outlineLevel="1" thickBot="1">
      <c r="A107" s="81" t="s">
        <v>75</v>
      </c>
      <c r="B107" s="173" t="str">
        <f>IFERROR(VLOOKUP(tblCHKSDM[[#This Row],[Pin Name]],tblSDM[],2,FALSE)&amp;CHAR(10)&amp;VLOOKUP(tblCHKSDM[[#This Row],[Signal Name]],tblSDMIO[],3,FALSE),MSG!$B$10)</f>
        <v xml:space="preserve">
This pin is not used. </v>
      </c>
      <c r="C107" s="104" t="s">
        <v>1533</v>
      </c>
      <c r="D107" s="104" t="s">
        <v>16</v>
      </c>
      <c r="E107"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7" s="81" t="str">
        <f>IFERROR(VLOOKUP(tblCHKSDM[[#This Row],[Pin Name]],SDMIO_assign!F17:G33,2,FALSE),MSG!$E$10)</f>
        <v>Unused</v>
      </c>
    </row>
    <row r="108" spans="1:6" ht="68" outlineLevel="1" thickBot="1">
      <c r="A108" s="81" t="s">
        <v>61</v>
      </c>
      <c r="B108" s="173" t="str">
        <f>IFERROR(VLOOKUP(tblCHKSDM[[#This Row],[Pin Name]],tblSDM[],2,FALSE)&amp;CHAR(10)&amp;VLOOKUP(tblCHKSDM[[#This Row],[Signal Name]],tblSDMIO[],3,FALSE),MSG!$B$10)</f>
        <v xml:space="preserve">
This pin is not used. </v>
      </c>
      <c r="C108" s="104" t="s">
        <v>1527</v>
      </c>
      <c r="D108" s="104" t="s">
        <v>16</v>
      </c>
      <c r="E108"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8" s="81" t="str">
        <f>IFERROR(VLOOKUP(tblCHKSDM[[#This Row],[Pin Name]],SDMIO_assign!F18:G34,2,FALSE),MSG!$E$10)</f>
        <v>Unused</v>
      </c>
    </row>
    <row r="109" spans="1:6" ht="81.5" outlineLevel="1" thickBot="1">
      <c r="A109" s="81" t="s">
        <v>96</v>
      </c>
      <c r="B109" s="173" t="str">
        <f>IFERROR(VLOOKUP(tblCHKSDM[[#This Row],[Pin Name]],tblSDM[],2,FALSE)&amp;CHAR(10)&amp;VLOOKUP(tblCHKSDM[[#This Row],[Signal Name]],tblSDMIO[],3,FALSE),MSG!$B$10)</f>
        <v xml:space="preserve">
Connect this pin to the reset pin of the QSPI flash device when configuring from the QSPI flash device.</v>
      </c>
      <c r="C109" s="104" t="s">
        <v>1532</v>
      </c>
      <c r="D109" s="104" t="s">
        <v>16</v>
      </c>
      <c r="E109"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reset pin of the QSPI flash device when configuring from the QSPI flash device.</v>
      </c>
      <c r="F109" s="81" t="str">
        <f>IFERROR(VLOOKUP(tblCHKSDM[[#This Row],[Pin Name]],SDMIO_assign!F19:G35,2,FALSE),MSG!$E$10)</f>
        <v>AS_nRST</v>
      </c>
    </row>
    <row r="110" spans="1:6" ht="41" outlineLevel="1" thickBot="1">
      <c r="A110" s="81" t="s">
        <v>67</v>
      </c>
      <c r="B110" s="173" t="str">
        <f>IFERROR(VLOOKUP(tblCHKSDM[[#This Row],[Pin Name]],tblSDM[],2,FALSE)&amp;CHAR(10)&amp;VLOOKUP(tblCHKSDM[[#This Row],[Signal Name]],tblSDMIO[],3,FALSE),MSG!$B$10)</f>
        <v xml:space="preserve">
This pin is not used. </v>
      </c>
      <c r="C110" s="104" t="s">
        <v>1527</v>
      </c>
      <c r="D110" s="104" t="s">
        <v>16</v>
      </c>
      <c r="E110" s="173" t="str">
        <f>IFERROR(VLOOKUP(tblCHKSDM[[#This Row],[Pin Name]],tblSDM[],3,FALSE)&amp;CHAR(10)&amp;VLOOKUP(tblCHKSDM[[#This Row],[Signal Name]],tblSDMIO[],3,FALSE),MSG!$B$10)</f>
        <v xml:space="preserve">This pin is pulled low internally by a 20kΩ resistor when the device is powered up.
This pin is not used. </v>
      </c>
      <c r="F110" s="81" t="str">
        <f>IFERROR(VLOOKUP(tblCHKSDM[[#This Row],[Pin Name]],SDMIO_assign!F20:G36,2,FALSE),MSG!$E$10)</f>
        <v>Unused</v>
      </c>
    </row>
    <row r="113" spans="1:5" s="91" customFormat="1" ht="15.5" thickBot="1">
      <c r="A113" s="82" t="s">
        <v>97</v>
      </c>
      <c r="B113" s="172"/>
      <c r="C113" s="82"/>
      <c r="D113" s="82"/>
      <c r="E113" s="172"/>
    </row>
    <row r="114" spans="1:5" ht="14" outlineLevel="1" thickBot="1">
      <c r="A114" s="83" t="s">
        <v>30</v>
      </c>
      <c r="B114" s="83" t="s">
        <v>31</v>
      </c>
      <c r="C114" s="83" t="s">
        <v>32</v>
      </c>
      <c r="D114" s="83" t="s">
        <v>33</v>
      </c>
      <c r="E114" s="83" t="s">
        <v>34</v>
      </c>
    </row>
    <row r="115" spans="1:5" ht="230" outlineLevel="1" thickBot="1">
      <c r="A115" s="81" t="s">
        <v>566</v>
      </c>
      <c r="B115"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5" s="90" t="s">
        <v>1517</v>
      </c>
      <c r="D115" s="90" t="s">
        <v>16</v>
      </c>
      <c r="E115" s="173" t="str">
        <f>IFERROR(VLOOKUP(tblCHKCLK[[#This Row],[Pin Name]],tblCLKPLL_1,3,FALSE),MSG!$B$10)</f>
        <v>Dual-purpose I/O pins that can be used for data inputs or outputs. On-chip termination such as differential input termination (RD OCT), parallel termination (RT OCT), and series termination (RS OCT) are supported on these pins.
For more information about the supported pins, refer to the device pin-out file.
When you do not use these pins as dedicated clock pins, you can use them as regular I/O pins.
Supported I/O standards:
•	1.0 V
•	1.05 V
•	1.1 V
•	1.2 V
•	1.3 V
These pins support the programmable pull-up resistor. For more information, refer to the Agilex™ 3 FPGAs and SoCs Device Data Sheet.</v>
      </c>
    </row>
    <row r="116" spans="1:5" ht="189.5" outlineLevel="1" thickBot="1">
      <c r="A116" s="81" t="s">
        <v>747</v>
      </c>
      <c r="B116"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6" s="90" t="s">
        <v>1517</v>
      </c>
      <c r="D116" s="90" t="s">
        <v>16</v>
      </c>
      <c r="E116" s="173" t="str">
        <f>IFERROR(VLOOKUP(tblCHKCLK[[#This Row],[Pin Name]],tblCLKPLL_1,3,FALSE),MSG!$B$10)</f>
        <v>Dual-purpose I/O pins that can be used as single-ended inputs, single-ended outputs, or external feedback input pins.
For more information about the supported pins, refer to the device pin-out file.
Supported I/O standards:
•	1.0 V
•	1.05 V
•	1.1 V
•	1.2 V
•	1.3 V
These pins support the programmable pull-up resistor. For more information, refer to the Agilex 3 FPGAs and SoCs Device Data Sheet.</v>
      </c>
    </row>
    <row r="117" spans="1:5" ht="176" outlineLevel="1" thickBot="1">
      <c r="A117" s="81" t="s">
        <v>748</v>
      </c>
      <c r="B117"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7" s="105" t="s">
        <v>1517</v>
      </c>
      <c r="D117" s="105" t="s">
        <v>16</v>
      </c>
      <c r="E117" s="173" t="str">
        <f>IFERROR(VLOOKUP(tblCHKCLK[[#This Row],[Pin Name]],tblCLKPLL_1,3,FALSE),MSG!$B$10)</f>
        <v>I/O pins that can be used as two single-ended clock output pins or one differential clock output pair.
For more information about the supported pins, refer to the device pin-out file.
Supported I/O standards:
•	1.0 V
•	1.05 V
•	1.1 V
•	1.2 V
•	1.3 V
These pins support the programmable pull-up resistor. For more information, refer to the Agilex 3 FPGAs and SoCs Device Data Sheet.</v>
      </c>
    </row>
    <row r="120" spans="1:5" s="91" customFormat="1" ht="15.5" thickBot="1">
      <c r="A120" s="82" t="s">
        <v>98</v>
      </c>
      <c r="B120" s="172"/>
      <c r="C120" s="82"/>
      <c r="D120" s="82"/>
      <c r="E120" s="172"/>
    </row>
    <row r="121" spans="1:5" ht="14" outlineLevel="1" thickBot="1">
      <c r="A121" s="83" t="s">
        <v>30</v>
      </c>
      <c r="B121" s="83" t="s">
        <v>31</v>
      </c>
      <c r="C121" s="83" t="s">
        <v>32</v>
      </c>
      <c r="D121" s="83" t="s">
        <v>33</v>
      </c>
      <c r="E121" s="83" t="s">
        <v>34</v>
      </c>
    </row>
    <row r="122" spans="1:5" ht="14" outlineLevel="1" thickBot="1">
      <c r="A122" s="81" t="s">
        <v>678</v>
      </c>
      <c r="B122" s="173" t="str">
        <f>IF(OR($C$20="Voltage",$C$20="Both Voltage and Temperature"),IFERROR(VLOOKUP(tblCHKSENSOR[[#This Row],[Pin Name]],tblSENSOR_1,4,FALSE),MSG!$B$10),MSG!$G$10)</f>
        <v>Voltage sensors are not used</v>
      </c>
      <c r="C122" s="90" t="s">
        <v>1518</v>
      </c>
      <c r="D122" s="90" t="s">
        <v>16</v>
      </c>
      <c r="E122" s="173" t="str">
        <f>IF(OR($C$20="Voltage",$C$20="Both Voltage and Temperature"),IFERROR(VLOOKUP(tblCHKSENSOR[[#This Row],[Pin Name]],tblSENSOR_1,3,FALSE),MSG!$B$10),MSG!$G$10)</f>
        <v>Voltage sensors are not used</v>
      </c>
    </row>
    <row r="123" spans="1:5" ht="14" outlineLevel="1" thickBot="1">
      <c r="A123" s="81" t="s">
        <v>680</v>
      </c>
      <c r="B123" s="173" t="str">
        <f>IF(OR($C$20="Voltage",$C$20="Both Voltage and Temperature"),IFERROR(VLOOKUP(tblCHKSENSOR[[#This Row],[Pin Name]],tblSENSOR_1,4,FALSE),MSG!$B$10),MSG!$G$10)</f>
        <v>Voltage sensors are not used</v>
      </c>
      <c r="C123" s="90" t="s">
        <v>1518</v>
      </c>
      <c r="D123" s="90" t="s">
        <v>16</v>
      </c>
      <c r="E123" s="173" t="str">
        <f>IF(OR($C$20="Voltage",$C$20="Both Voltage and Temperature"),IFERROR(VLOOKUP(tblCHKSENSOR[[#This Row],[Pin Name]],tblSENSOR_1,3,FALSE),MSG!$B$10),MSG!$G$10)</f>
        <v>Voltage sensors are not used</v>
      </c>
    </row>
    <row r="124" spans="1:5" ht="14" outlineLevel="1" thickBot="1">
      <c r="A124" s="81" t="s">
        <v>99</v>
      </c>
      <c r="B124" s="173" t="str">
        <f>IF(OR($C$20="Voltage",$C$20="Both Voltage and Temperature"),IFERROR(VLOOKUP(tblCHKSENSOR[[#This Row],[Pin Name]],tblSENSOR_1,4,FALSE),MSG!$B$10),MSG!$G$10)</f>
        <v>Voltage sensors are not used</v>
      </c>
      <c r="C124" s="90" t="s">
        <v>1518</v>
      </c>
      <c r="D124" s="90" t="s">
        <v>16</v>
      </c>
      <c r="E124" s="173" t="str">
        <f>IF(OR($C$20="Voltage",$C$20="Both Voltage and Temperature"),IFERROR(VLOOKUP(tblCHKSENSOR[[#This Row],[Pin Name]],tblSENSOR_1,3,FALSE),MSG!$B$10),MSG!$G$10)</f>
        <v>Voltage sensors are not used</v>
      </c>
    </row>
    <row r="125" spans="1:5" ht="14" outlineLevel="1" thickBot="1">
      <c r="A125" s="81" t="s">
        <v>100</v>
      </c>
      <c r="B125" s="173" t="str">
        <f>IF(OR($C$20="Voltage",$C$20="Both Voltage and Temperature"),IFERROR(VLOOKUP(tblCHKSENSOR[[#This Row],[Pin Name]],tblSENSOR_1,4,FALSE),MSG!$B$10),MSG!$G$10)</f>
        <v>Voltage sensors are not used</v>
      </c>
      <c r="C125" s="90" t="s">
        <v>1518</v>
      </c>
      <c r="D125" s="90" t="s">
        <v>16</v>
      </c>
      <c r="E125" s="173" t="str">
        <f>IF(OR($C$20="Voltage",$C$20="Both Voltage and Temperature"),IFERROR(VLOOKUP(tblCHKSENSOR[[#This Row],[Pin Name]],tblSENSOR_1,3,FALSE),MSG!$B$10),MSG!$G$10)</f>
        <v>Voltage sensors are not used</v>
      </c>
    </row>
    <row r="126" spans="1:5" ht="14" outlineLevel="1" thickBot="1">
      <c r="A126" s="81" t="s">
        <v>681</v>
      </c>
      <c r="B126" s="173" t="str">
        <f>IF(OR($C$20="Voltage",$C$20="Both Voltage and Temperature"),IFERROR(VLOOKUP(tblCHKSENSOR[[#This Row],[Pin Name]],tblSENSOR_1,4,FALSE),MSG!$B$10),MSG!$G$10)</f>
        <v>Voltage sensors are not used</v>
      </c>
      <c r="C126" s="105" t="s">
        <v>1519</v>
      </c>
      <c r="D126" s="105" t="s">
        <v>16</v>
      </c>
      <c r="E126" s="173" t="str">
        <f>IF(OR($C$20="Temperature",$C$20="Both Voltage and Temperature"),IFERROR(VLOOKUP(tblCHKSENSOR[[#This Row],[Pin Name]],tblSENSOR_1,3,FALSE),MSG!$B$10),MSG!$G$11)</f>
        <v>Temperature sensors are not used</v>
      </c>
    </row>
    <row r="129" spans="1:5">
      <c r="A129" s="82" t="s">
        <v>169</v>
      </c>
      <c r="B129" s="172"/>
      <c r="C129" s="82"/>
      <c r="D129" s="82"/>
      <c r="E129" s="172"/>
    </row>
    <row r="130" spans="1:5" ht="14" outlineLevel="1" thickBot="1">
      <c r="A130" s="94"/>
      <c r="B130" s="94"/>
      <c r="C130" s="106"/>
      <c r="D130" s="106"/>
      <c r="E130" s="94"/>
    </row>
    <row r="131" spans="1:5" ht="14" outlineLevel="1" thickBot="1">
      <c r="A131" s="83" t="s">
        <v>728</v>
      </c>
      <c r="B131" s="107" t="s">
        <v>25</v>
      </c>
      <c r="C131" s="106"/>
      <c r="D131" s="106"/>
      <c r="E131" s="94"/>
    </row>
    <row r="132" spans="1:5" ht="14" outlineLevel="1" thickBot="1">
      <c r="A132" s="94"/>
      <c r="B132" s="94"/>
      <c r="C132" s="106"/>
      <c r="D132" s="106"/>
      <c r="E132" s="94"/>
    </row>
    <row r="133" spans="1:5" ht="14" outlineLevel="1" thickBot="1">
      <c r="A133" s="83" t="s">
        <v>30</v>
      </c>
      <c r="B133" s="83" t="s">
        <v>31</v>
      </c>
      <c r="C133" s="83" t="s">
        <v>32</v>
      </c>
      <c r="D133" s="83" t="s">
        <v>33</v>
      </c>
      <c r="E133" s="83" t="s">
        <v>34</v>
      </c>
    </row>
    <row r="134" spans="1:5" ht="162.5" outlineLevel="1" thickBot="1">
      <c r="A134" s="81" t="s">
        <v>734</v>
      </c>
      <c r="B134" s="173" t="str">
        <f>IFERROR(VLOOKUP(tblCHKGPIORZQ[[#This Row],[Pin Name]],tblGPIO_RZQ,4,FALSE),MSG!$B$10)</f>
        <v>When using OCT, tie these pins to GND through a 240-Ω resistor.
When you do not use these pins as dedicated input for the external precision resistor or as I/O pins, leave these pins unconnected.</v>
      </c>
      <c r="C134" s="97" t="s">
        <v>1521</v>
      </c>
      <c r="D134" s="108" t="s">
        <v>16</v>
      </c>
      <c r="E134" s="173" t="str">
        <f>IFERROR(VLOOKUP(tblCHKGPIORZQ[[#This Row],[Pin Name]],tblGPIO_RZQ,3,FALSE),MSG!$B$10)</f>
        <v>Reference pins for I/O banks. The RZQ pins share the same VCCIO_PIO with the I/O bank where they are located.
Connect the external precision resistor to the designated pin within the bank. If not required, this pin is a regular I/O pin.
These pins support 1.3-V, 1.2-V, 1.1-V, 1.05-V, and 1.0-V I/O standard.
These pins support the programmable pull-up resistor. For more information, refer to the Agilex 3 FPGAs and SoCs Device Data Sheet.
For more information about the supported pins, refer to the device pin-out file.</v>
      </c>
    </row>
    <row r="135" spans="1:5" ht="14" outlineLevel="1" thickBot="1"/>
    <row r="136" spans="1:5" ht="14" outlineLevel="1" thickBot="1">
      <c r="A136" s="83" t="s">
        <v>730</v>
      </c>
    </row>
    <row r="137" spans="1:5" ht="14" outlineLevel="1" thickBot="1">
      <c r="A137" s="83" t="s">
        <v>30</v>
      </c>
      <c r="B137" s="83" t="s">
        <v>31</v>
      </c>
      <c r="C137" s="83" t="s">
        <v>32</v>
      </c>
      <c r="D137" s="83" t="s">
        <v>33</v>
      </c>
      <c r="E137" s="83" t="s">
        <v>34</v>
      </c>
    </row>
    <row r="138" spans="1:5" ht="365" outlineLevel="1" thickBot="1">
      <c r="A138" s="81" t="s">
        <v>1188</v>
      </c>
      <c r="B138" s="173" t="str">
        <f>IFERROR(VLOOKUP(tblCHKHSIO[[#This Row],[Pin Name]],tblHSIO,4,FALSE),MSG!$B$10)</f>
        <v>Connect unused pins as defined in the Quartus Prime software.
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38" s="109" t="s">
        <v>1517</v>
      </c>
      <c r="D138" s="105" t="s">
        <v>16</v>
      </c>
      <c r="E138" s="173" t="str">
        <f>IFERROR(VLOOKUP(tblCHKHSIO[[#This Row],[Pin Name]],tblHSIO,3,FALSE),MSG!$B$10)</f>
        <v>These are LVDS SERDES channels on HSIO banks. If these pins are not used in LVDS SERDES implementation, these pins are available as user I/O pins.
Supported I/O standards:
•	1.3-V I/O standard for true differential I/O
•	1.3-V I/O standard for single-ended non-voltage referenced I/O
•	1.2-V I/O standard for single-ended voltage referenced and non-voltage referenced I/O
•	1.2-V I/O standard for differential voltage referenced I/O
•	1.2-V I/O standard for true differential I/O
•	1.1-V I/O standard for single-ended voltage referenced and non-voltage referenced I/O
•	1.1-V I/O standard for differential voltage referenced I/O
•	1.1-V I/O standard for true differential I/O
•	1.05-V I/O standard for single-ended voltage referenced and non-voltage referenced I/O
•	1.05-V I/O standard for differential voltage referenced input
•	1.05-V I/O standard for true differential I/O
•	1.0-V I/O standard for non-voltage referenced I/O
These pins support the programmable pull-up resistor. For more information, refer to the Agilex 3 FPGAs and SoCs Device Data Sheet.
For more information about the I/O placement guidelines, refer to the General-Purpose I/O User Guide: Agilex 3 FPGAs and SoCs.</v>
      </c>
    </row>
    <row r="139" spans="1:5" ht="14" outlineLevel="1" thickBot="1"/>
    <row r="140" spans="1:5" ht="14" outlineLevel="1" thickBot="1">
      <c r="A140" s="83" t="s">
        <v>732</v>
      </c>
    </row>
    <row r="141" spans="1:5" ht="14" outlineLevel="1" thickBot="1">
      <c r="A141" s="83" t="s">
        <v>30</v>
      </c>
      <c r="B141" s="83" t="s">
        <v>31</v>
      </c>
      <c r="C141" s="83" t="s">
        <v>32</v>
      </c>
      <c r="D141" s="83" t="s">
        <v>33</v>
      </c>
      <c r="E141" s="83" t="s">
        <v>34</v>
      </c>
    </row>
    <row r="142" spans="1:5" ht="95" outlineLevel="1" thickBot="1">
      <c r="A142" s="81" t="s">
        <v>589</v>
      </c>
      <c r="B142" s="173" t="str">
        <f>IFERROR(VLOOKUP(tblCHKHVIO[[#This Row],[Pin Name]],tblHVIO,4,FALSE),MSG!$B$10)</f>
        <v>Connect unused pins as defined in the Quartus Prime software.</v>
      </c>
      <c r="C142" s="109" t="s">
        <v>1522</v>
      </c>
      <c r="D142" s="105" t="s">
        <v>16</v>
      </c>
      <c r="E142" s="173" t="str">
        <f>IFERROR(VLOOKUP(tblCHKHVIO[[#This Row],[Pin Name]],tblHVIO,3,FALSE),MSG!$B$10)</f>
        <v>General-purpose input/output pins. Support I/O standards:
•	1.8-V LVCMOS I/O standard
•	1.8-V LVTTL I/O standard
•	2.5-V LVCMOS I/O standard
•	2.5-V LVTTL I/O standard
•	3.3-V LVCMOS I/O standard
•	3.3-V LVTTL I/O standard</v>
      </c>
    </row>
    <row r="143" spans="1:5" ht="14" outlineLevel="1" thickBot="1"/>
    <row r="144" spans="1:5" ht="14" outlineLevel="1" thickBot="1">
      <c r="A144" s="83" t="s">
        <v>600</v>
      </c>
    </row>
    <row r="145" spans="1:5" ht="14" outlineLevel="2" thickBot="1">
      <c r="A145" s="83" t="s">
        <v>30</v>
      </c>
      <c r="B145" s="83" t="s">
        <v>31</v>
      </c>
      <c r="C145" s="83" t="s">
        <v>32</v>
      </c>
      <c r="D145" s="83" t="s">
        <v>33</v>
      </c>
      <c r="E145" s="83" t="s">
        <v>34</v>
      </c>
    </row>
    <row r="146" spans="1:5" ht="27.5" outlineLevel="2" thickBot="1">
      <c r="A146" s="81" t="s">
        <v>592</v>
      </c>
      <c r="B146" s="173" t="str">
        <f>IF($B$131="Yes",IFERROR(VLOOKUP(tblCHKHVIOOPTFUNC[[#This Row],[Pin Name]],tblHVIO_OPT_FUNC,4,FALSE),MSG!$B$10),MSG!$M$10)</f>
        <v>Provide a single-ended external clock source to this pin.
Connect unused pins as defined in the Quartus Prime software.</v>
      </c>
      <c r="C146" s="90" t="s">
        <v>1522</v>
      </c>
      <c r="D146" s="90" t="s">
        <v>16</v>
      </c>
      <c r="E146" s="173" t="str">
        <f>IF($B$131="Yes",IFERROR(VLOOKUP(tblCHKHVIOOPTFUNC[[#This Row],[Pin Name]],tblHVIO_OPT_FUNC,3,FALSE),MSG!$B$10),MSG!$M$10)</f>
        <v>Reference clock input pins for IOPLL.</v>
      </c>
    </row>
    <row r="147" spans="1:5" ht="68" outlineLevel="2" thickBot="1">
      <c r="A147" s="81" t="s">
        <v>593</v>
      </c>
      <c r="B147" s="173" t="str">
        <f>IF($B$131="Yes",IFERROR(VLOOKUP(tblCHKHVIOOPTFUNC[[#This Row],[Pin Name]],tblHVIO_OPT_FUNC,4,FALSE),MSG!$B$10),MSG!$M$10)</f>
        <v>Provide a single-ended external clock source to this pin when the pin is used as a reference clock.
Connect with RGMII_RX_CLK from Ethernet PHY when this pin is used as a RGMII receive clock. You can only use one of the two pins at a time as RGMII_RX_CLK.
Connect unused pins as defined in the Quartus Prime software.</v>
      </c>
      <c r="C147" s="90" t="s">
        <v>1522</v>
      </c>
      <c r="D147" s="90" t="s">
        <v>16</v>
      </c>
      <c r="E147" s="173" t="str">
        <f>IF($B$131="Yes",IFERROR(VLOOKUP(tblCHKHVIOOPTFUNC[[#This Row],[Pin Name]],tblHVIO_OPT_FUNC,3,FALSE),MSG!$B$10),MSG!$M$10)</f>
        <v>Reference clock input pins to Fabric Core or RGMII interface. These pins can be used as RGMII receive clock when you have RGMII interface connected with the HVIO bank on board.</v>
      </c>
    </row>
    <row r="148" spans="1:5" ht="41" outlineLevel="2" thickBot="1">
      <c r="A148" s="81" t="s">
        <v>1193</v>
      </c>
      <c r="B148" s="173" t="str">
        <f>IF($B$131="Yes",IFERROR(VLOOKUP(tblCHKHVIOOPTFUNC[[#This Row],[Pin Name]],tblHVIO_OPT_FUNC,4,FALSE),MSG!$B$10),MSG!$M$10)</f>
        <v>Provide a single-ended external clock source to this pin.
Connect unused pins as defined in the Quartus Prime software.</v>
      </c>
      <c r="C148" s="90" t="s">
        <v>1522</v>
      </c>
      <c r="D148" s="90" t="s">
        <v>16</v>
      </c>
      <c r="E148" s="173" t="str">
        <f>IF($B$131="Yes",IFERROR(VLOOKUP(tblCHKHVIOOPTFUNC[[#This Row],[Pin Name]],tblHVIO_OPT_FUNC,3,FALSE),MSG!$B$10),MSG!$M$10)</f>
        <v>Reference clock input pins for system PLL in the GTS transceiver banks. You can also use the system PLL for the core fabric if it is unused by the GTS transceiver.</v>
      </c>
    </row>
    <row r="149" spans="1:5" ht="149" outlineLevel="2" thickBot="1">
      <c r="A149" s="81" t="s">
        <v>999</v>
      </c>
      <c r="B149" s="173" t="str">
        <f>IF($B$131="Yes",IFERROR(VLOOKUP(tblCHKHVIOOPTFUNC[[#This Row],[Pin Name]],tblHVIO_OPT_FUNC,4,FALSE),MSG!$B$10),MSG!$M$10)</f>
        <v>Reset input in PCIe case.
In a PCIe adapter card implementation, connect this signal from the PCIe edge connector to each GTS PCIe reset input pin. You must pull up the 3.3-V PCIe nPERST signal on the adapter card.
If the pin is assigned to PIN_PERST in the Quartus Prime IP but GTS is unused, tie to GND.
If VCCIO_HVIO is 1.8-V or 2.5-V, use a level translator to fan out and change the 3.3-V open-drain nPERST signal from the PCIe connector to this pin of each GTS transceiver that is used on the board.
In case when one reset pin controls multiple PCIe IPs in bifurcation mode, ensure that this signal is deasserted high after all IPs reference clocks are stable.</v>
      </c>
      <c r="C149" s="90" t="s">
        <v>1522</v>
      </c>
      <c r="D149" s="90" t="s">
        <v>16</v>
      </c>
      <c r="E149" s="173" t="str">
        <f>IF($B$131="Yes",IFERROR(VLOOKUP(tblCHKHVIOOPTFUNC[[#This Row],[Pin Name]],tblHVIO_OPT_FUNC,3,FALSE),MSG!$B$10),MSG!$M$10)</f>
        <v>Dual-purpose pin functions as user I/O pin or PCIe* platform reset pin. Two reset pins available for each GTS bank, select either one of the pins.
When used as PCIe platform reset, connect this pin to the system PCIe nPERST signal. When the pin is low, the transceivers are in reset. When the pin is high, the transceivers are out of reset.</v>
      </c>
    </row>
    <row r="150" spans="1:5" ht="41" outlineLevel="2" thickBot="1">
      <c r="A150" s="81" t="s">
        <v>594</v>
      </c>
      <c r="B150" s="173" t="str">
        <f>IF($B$131="Yes",IFERROR(VLOOKUP(tblCHKHVIOOPTFUNC[[#This Row],[Pin Name]],tblHVIO_OPT_FUNC,4,FALSE),MSG!$B$10),MSG!$M$10)</f>
        <v>Connect unused pins as defined in the Quartus Prime software.</v>
      </c>
      <c r="C150" s="90" t="s">
        <v>1522</v>
      </c>
      <c r="D150" s="90" t="s">
        <v>16</v>
      </c>
      <c r="E150" s="173" t="str">
        <f>IF($B$131="Yes",IFERROR(VLOOKUP(tblCHKHVIOOPTFUNC[[#This Row],[Pin Name]],tblHVIO_OPT_FUNC,3,FALSE),MSG!$B$10),MSG!$M$10)</f>
        <v>Transmit clock. These pins can be used as RGMII transmit clock when you have RGMII interface connected with HVIO bank on board.</v>
      </c>
    </row>
    <row r="151" spans="1:5" ht="27.5" outlineLevel="2" thickBot="1">
      <c r="A151" s="81" t="s">
        <v>595</v>
      </c>
      <c r="B151" s="173" t="str">
        <f>IF($B$131="Yes",IFERROR(VLOOKUP(tblCHKHVIOOPTFUNC[[#This Row],[Pin Name]],tblHVIO_OPT_FUNC,4,FALSE),MSG!$B$10),MSG!$M$10)</f>
        <v>Provide a single-ended external clock source to this pin.
Connect unused pins as defined in the Quartus Prime software.</v>
      </c>
      <c r="C151" s="90" t="s">
        <v>1522</v>
      </c>
      <c r="D151" s="90" t="s">
        <v>16</v>
      </c>
      <c r="E151" s="173" t="str">
        <f>IF($B$131="Yes",IFERROR(VLOOKUP(tblCHKHVIOOPTFUNC[[#This Row],[Pin Name]],tblHVIO_OPT_FUNC,3,FALSE),MSG!$B$10),MSG!$M$10)</f>
        <v>Reference clock input pins for the fabric core.</v>
      </c>
    </row>
    <row r="152" spans="1:5" ht="54.5" outlineLevel="2" thickBot="1">
      <c r="A152" s="81" t="s">
        <v>596</v>
      </c>
      <c r="B152" s="173" t="str">
        <f>IF($B$131="Yes",IFERROR(VLOOKUP(tblCHKHVIOOPTFUNC[[#This Row],[Pin Name]],tblHVIO_OPT_FUNC,4,FALSE),MSG!$B$10),MSG!$M$10)</f>
        <v>When these pins are used as RGMII receive data (RXD) or RGMII transmit data (TXD), you must assign the 4 pins for RXD or TXD in groups of 4. For example, [1:4], [5:8], [9:12], [13:16], and [17:20].
Connect unused pins as defined in the Quartus Prime software.</v>
      </c>
      <c r="C152" s="105" t="s">
        <v>1522</v>
      </c>
      <c r="D152" s="105" t="s">
        <v>16</v>
      </c>
      <c r="E152" s="173" t="str">
        <f>IF($B$131="Yes",IFERROR(VLOOKUP(tblCHKHVIOOPTFUNC[[#This Row],[Pin Name]],tblHVIO_OPT_FUNC,3,FALSE),MSG!$B$10),MSG!$M$10)</f>
        <v>Data and control signal. These pins can be used as RGMII data and control signal when you have RGMII interface connected with HVIO bank on board.</v>
      </c>
    </row>
    <row r="153" spans="1:5" outlineLevel="1"/>
    <row r="156" spans="1:5" s="91" customFormat="1" ht="15.5" thickBot="1">
      <c r="A156" s="82" t="s">
        <v>101</v>
      </c>
      <c r="B156" s="172"/>
      <c r="C156" s="82"/>
      <c r="D156" s="82"/>
      <c r="E156" s="172"/>
    </row>
    <row r="157" spans="1:5" ht="14" outlineLevel="1" thickBot="1">
      <c r="A157" s="83" t="s">
        <v>30</v>
      </c>
      <c r="B157" s="83" t="s">
        <v>31</v>
      </c>
      <c r="C157" s="83" t="s">
        <v>32</v>
      </c>
      <c r="D157" s="83" t="s">
        <v>33</v>
      </c>
      <c r="E157" s="83" t="s">
        <v>34</v>
      </c>
    </row>
    <row r="158" spans="1:5" ht="68" outlineLevel="1" thickBot="1">
      <c r="A158" s="81" t="s">
        <v>1004</v>
      </c>
      <c r="B158" s="173" t="str">
        <f>IF($C$22="Yes",IFERROR(VLOOKUP(tblCHKXCVR[[#This Row],[Pin Name]],tblXCVR[],4,FALSE),MSG!$B$10),MSG!$H$10)</f>
        <v>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v>
      </c>
      <c r="C158" s="90" t="s">
        <v>1523</v>
      </c>
      <c r="D158" s="90" t="s">
        <v>22</v>
      </c>
      <c r="E158" s="173" t="str">
        <f>IF($C$22="Yes",IFERROR(VLOOKUP(tblCHKXCVR[[#This Row],[Pin Name]],tblXCVR[],3,FALSE),MSG!$B$10),MSG!$H$10)</f>
        <v>External biasing resistors for GTS.</v>
      </c>
    </row>
    <row r="159" spans="1:5" ht="68" outlineLevel="1" thickBot="1">
      <c r="A159" s="81" t="s">
        <v>1005</v>
      </c>
      <c r="B159" s="173" t="str">
        <f>IF($C$22="Yes",IFERROR(VLOOKUP(tblCHKXCVR[[#This Row],[Pin Name]],tblXCVR[],4,FALSE),MSG!$B$10),MSG!$H$10)</f>
        <v>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v>
      </c>
      <c r="C159" s="90" t="s">
        <v>1523</v>
      </c>
      <c r="D159" s="90" t="s">
        <v>22</v>
      </c>
      <c r="E159" s="173" t="str">
        <f>IF($C$22="Yes",IFERROR(VLOOKUP(tblCHKXCVR[[#This Row],[Pin Name]],tblXCVR[],3,FALSE),MSG!$B$10),MSG!$H$10)</f>
        <v>External biasing resistors for GTS.</v>
      </c>
    </row>
    <row r="160" spans="1:5" ht="41" outlineLevel="1" thickBot="1">
      <c r="A160" s="81" t="s">
        <v>1006</v>
      </c>
      <c r="B160" s="173" t="str">
        <f>IF($C$22="Yes",IFERROR(VLOOKUP(tblCHKXCVR[[#This Row],[Pin Name]],tblXCVR[],4,FALSE),MSG!$B$10),MSG!$H$10)</f>
        <v>AC or DC coupled. Clock driver must be compatible with input requirement in DC coupling case.
Tie to GND if these pins are not used.</v>
      </c>
      <c r="C160" s="90" t="s">
        <v>1524</v>
      </c>
      <c r="D160" s="90" t="s">
        <v>814</v>
      </c>
      <c r="E160" s="173" t="str">
        <f>IF($C$22="Yes",IFERROR(VLOOKUP(tblCHKXCVR[[#This Row],[Pin Name]],tblXCVR[],3,FALSE),MSG!$B$10),MSG!$H$10)</f>
        <v>Local reference clock pins for GTS transceiver banks.
For more information about the supported pins, refer to the device pin-out file.</v>
      </c>
    </row>
    <row r="161" spans="1:5" ht="41" outlineLevel="1" thickBot="1">
      <c r="A161" s="81" t="s">
        <v>1007</v>
      </c>
      <c r="B161" s="173" t="str">
        <f>IF($C$22="Yes",IFERROR(VLOOKUP(tblCHKXCVR[[#This Row],[Pin Name]],tblXCVR[],4,FALSE),MSG!$B$10),MSG!$H$10)</f>
        <v>AC or DC coupled. Clock driver must be compatible with input requirement in DC coupling case.
Tie to GND if these pins are not used.</v>
      </c>
      <c r="C161" s="90" t="s">
        <v>1524</v>
      </c>
      <c r="D161" s="90" t="s">
        <v>814</v>
      </c>
      <c r="E161" s="173" t="str">
        <f>IF($C$22="Yes",IFERROR(VLOOKUP(tblCHKXCVR[[#This Row],[Pin Name]],tblXCVR[],3,FALSE),MSG!$B$10),MSG!$H$10)</f>
        <v>Local reference clock pins for GTS transceiver banks.
For more information about the supported pins, refer to the device pin-out file.</v>
      </c>
    </row>
    <row r="162" spans="1:5" ht="41" outlineLevel="1" thickBot="1">
      <c r="A162" s="81" t="s">
        <v>1009</v>
      </c>
      <c r="B162" s="173" t="str">
        <f>IF($C$22="Yes",IFERROR(VLOOKUP(tblCHKXCVR[[#This Row],[Pin Name]],tblXCVR[],4,FALSE),MSG!$B$10),MSG!$H$10)</f>
        <v>AC or DC coupled.
Leave unused pins floating.</v>
      </c>
      <c r="C162" s="104" t="s">
        <v>1524</v>
      </c>
      <c r="D162" s="90" t="s">
        <v>814</v>
      </c>
      <c r="E162" s="173" t="str">
        <f>IF($C$22="Yes",IFERROR(VLOOKUP(tblCHKXCVR[[#This Row],[Pin Name]],tblXCVR[],3,FALSE),MSG!$B$10),MSG!$H$10)</f>
        <v>CDR recovered clock output pins for GTS transceiver banks.
For more information about the supported pins, refer to the device pin-out file.</v>
      </c>
    </row>
    <row r="163" spans="1:5" ht="41" outlineLevel="1" thickBot="1">
      <c r="A163" s="81" t="s">
        <v>1010</v>
      </c>
      <c r="B163" s="173" t="str">
        <f>IF($C$22="Yes",IFERROR(VLOOKUP(tblCHKXCVR[[#This Row],[Pin Name]],tblXCVR[],4,FALSE),MSG!$B$10),MSG!$H$10)</f>
        <v>AC or DC coupled.
Leave unused pins floating.</v>
      </c>
      <c r="C163" s="90" t="s">
        <v>1524</v>
      </c>
      <c r="D163" s="90" t="s">
        <v>814</v>
      </c>
      <c r="E163" s="173" t="str">
        <f>IF($C$22="Yes",IFERROR(VLOOKUP(tblCHKXCVR[[#This Row],[Pin Name]],tblXCVR[],3,FALSE),MSG!$B$10),MSG!$H$10)</f>
        <v>CDR recovered clock output pins for GTS transceiver banks.
For more information about the supported pins, refer to the device pin-out file.</v>
      </c>
    </row>
    <row r="164" spans="1:5" ht="54.5" outlineLevel="1" thickBot="1">
      <c r="A164" s="81" t="s">
        <v>1012</v>
      </c>
      <c r="B164" s="173" t="str">
        <f>IF($C$22="Yes",IFERROR(VLOOKUP(tblCHKXCVR[[#This Row],[Pin Name]],tblXCVR[],4,FALSE),MSG!$B$10),MSG!$H$10)</f>
        <v>AC or DC coupled. Clock driver must be compatible with input requirement in DC coupling case.
Tie to GND if these pins are not used.</v>
      </c>
      <c r="C164" s="90" t="s">
        <v>1524</v>
      </c>
      <c r="D164" s="90" t="s">
        <v>814</v>
      </c>
      <c r="E164" s="173" t="str">
        <f>IF($C$22="Yes",IFERROR(VLOOKUP(tblCHKXCVR[[#This Row],[Pin Name]],tblXCVR[],3,FALSE),MSG!$B$10),MSG!$H$10)</f>
        <v>Regional reference clock input pins for GTS transceiver banks.
For more information about the supported pins, refer to the device pin-out file.</v>
      </c>
    </row>
    <row r="165" spans="1:5" ht="54.5" outlineLevel="1" thickBot="1">
      <c r="A165" s="81" t="s">
        <v>1013</v>
      </c>
      <c r="B165" s="173" t="str">
        <f>IF($C$22="Yes",IFERROR(VLOOKUP(tblCHKXCVR[[#This Row],[Pin Name]],tblXCVR[],4,FALSE),MSG!$B$10),MSG!$H$10)</f>
        <v>AC or DC coupled. Clock driver must be compatible with input requirement in DC coupling case.
Tie to GND if these pins are not used.</v>
      </c>
      <c r="C165" s="90" t="s">
        <v>1524</v>
      </c>
      <c r="D165" s="90" t="s">
        <v>814</v>
      </c>
      <c r="E165" s="173" t="str">
        <f>IF($C$22="Yes",IFERROR(VLOOKUP(tblCHKXCVR[[#This Row],[Pin Name]],tblXCVR[],3,FALSE),MSG!$B$10),MSG!$H$10)</f>
        <v>Regional reference clock input pins for GTS transceiver banks.
For more information about the supported pins, refer to the device pin-out file.</v>
      </c>
    </row>
    <row r="166" spans="1:5" ht="41" outlineLevel="1" thickBot="1">
      <c r="A166" s="81" t="s">
        <v>1014</v>
      </c>
      <c r="B166" s="173" t="str">
        <f>IF($C$22="Yes",IFERROR(VLOOKUP(tblCHKXCVR[[#This Row],[Pin Name]],tblXCVR[],4,FALSE),MSG!$B$10),MSG!$H$10)</f>
        <v>AC or DC coupled.
Tie to GND if these pins are not used.</v>
      </c>
      <c r="C166" s="90" t="s">
        <v>1524</v>
      </c>
      <c r="D166" s="90" t="s">
        <v>814</v>
      </c>
      <c r="E166" s="173" t="str">
        <f>IF($C$22="Yes",IFERROR(VLOOKUP(tblCHKXCVR[[#This Row],[Pin Name]],tblXCVR[],3,FALSE),MSG!$B$10),MSG!$H$10)</f>
        <v>GTS transceiver input pins.
For more information about the supported pins, refer to the device pin-out file.</v>
      </c>
    </row>
    <row r="167" spans="1:5" ht="41" outlineLevel="1" thickBot="1">
      <c r="A167" s="81" t="s">
        <v>1015</v>
      </c>
      <c r="B167" s="173" t="str">
        <f>IF($C$22="Yes",IFERROR(VLOOKUP(tblCHKXCVR[[#This Row],[Pin Name]],tblXCVR[],4,FALSE),MSG!$B$10),MSG!$H$10)</f>
        <v>AC or DC coupled.
Tie to GND if these pins are not used.</v>
      </c>
      <c r="C167" s="90" t="s">
        <v>1524</v>
      </c>
      <c r="D167" s="90" t="s">
        <v>814</v>
      </c>
      <c r="E167" s="173" t="str">
        <f>IF($C$22="Yes",IFERROR(VLOOKUP(tblCHKXCVR[[#This Row],[Pin Name]],tblXCVR[],3,FALSE),MSG!$B$10),MSG!$H$10)</f>
        <v>GTS transceiver input pins.
For more information about the supported pins, refer to the device pin-out file.</v>
      </c>
    </row>
    <row r="168" spans="1:5" ht="41" outlineLevel="1" thickBot="1">
      <c r="A168" s="81" t="s">
        <v>1016</v>
      </c>
      <c r="B168" s="173" t="str">
        <f>IF($C$22="Yes",IFERROR(VLOOKUP(tblCHKXCVR[[#This Row],[Pin Name]],tblXCVR[],4,FALSE),MSG!$B$10),MSG!$H$10)</f>
        <v>AC or DC coupled.
Leave unused pins floating.</v>
      </c>
      <c r="C168" s="90" t="s">
        <v>1523</v>
      </c>
      <c r="D168" s="90" t="s">
        <v>22</v>
      </c>
      <c r="E168" s="173" t="str">
        <f>IF($C$22="Yes",IFERROR(VLOOKUP(tblCHKXCVR[[#This Row],[Pin Name]],tblXCVR[],3,FALSE),MSG!$B$10),MSG!$H$10)</f>
        <v>GTS transceiver output pins.
For more information about the supported pins, refer to the device pin-out file.</v>
      </c>
    </row>
    <row r="169" spans="1:5" ht="41" outlineLevel="1" thickBot="1">
      <c r="A169" s="81" t="s">
        <v>1017</v>
      </c>
      <c r="B169" s="173" t="str">
        <f>IF($C$22="Yes",IFERROR(VLOOKUP(tblCHKXCVR[[#This Row],[Pin Name]],tblXCVR[],4,FALSE),MSG!$B$10),MSG!$H$10)</f>
        <v>AC or DC coupled.
Leave unused pins floating.</v>
      </c>
      <c r="C169" s="90" t="s">
        <v>1523</v>
      </c>
      <c r="D169" s="90" t="s">
        <v>22</v>
      </c>
      <c r="E169" s="173" t="str">
        <f>IF($C$22="Yes",IFERROR(VLOOKUP(tblCHKXCVR[[#This Row],[Pin Name]],tblXCVR[],3,FALSE),MSG!$B$10),MSG!$H$10)</f>
        <v>GTS transceiver output pins.
For more information about the supported pins, refer to the device pin-out file.</v>
      </c>
    </row>
    <row r="170" spans="1:5" ht="14" outlineLevel="1" thickBot="1">
      <c r="A170" s="81" t="s">
        <v>1018</v>
      </c>
      <c r="B170" s="173" t="str">
        <f>IF($C$22="Yes",IFERROR(VLOOKUP(tblCHKXCVR[[#This Row],[Pin Name]],tblXCVR[],4,FALSE),MSG!$B$10),MSG!$H$10)</f>
        <v>Leave these pins floating.</v>
      </c>
      <c r="C170" s="90" t="s">
        <v>1523</v>
      </c>
      <c r="D170" s="90" t="s">
        <v>22</v>
      </c>
      <c r="E170" s="173" t="str">
        <f>IF($C$22="Yes",IFERROR(VLOOKUP(tblCHKXCVR[[#This Row],[Pin Name]],tblXCVR[],3,FALSE),MSG!$B$10),MSG!$H$10)</f>
        <v>—</v>
      </c>
    </row>
    <row r="171" spans="1:5" ht="14" outlineLevel="1" thickBot="1">
      <c r="A171" s="81" t="s">
        <v>1019</v>
      </c>
      <c r="B171" s="173" t="str">
        <f>IF($C$22="Yes",IFERROR(VLOOKUP(tblCHKXCVR[[#This Row],[Pin Name]],tblXCVR[],4,FALSE),MSG!$B$10),MSG!$H$10)</f>
        <v>Leave these pins floating.</v>
      </c>
      <c r="C171" s="90" t="s">
        <v>1523</v>
      </c>
      <c r="D171" s="90" t="s">
        <v>22</v>
      </c>
      <c r="E171" s="173" t="str">
        <f>IF($C$22="Yes",IFERROR(VLOOKUP(tblCHKXCVR[[#This Row],[Pin Name]],tblXCVR[],3,FALSE),MSG!$B$10),MSG!$H$10)</f>
        <v>—</v>
      </c>
    </row>
    <row r="174" spans="1:5">
      <c r="A174" s="82" t="s">
        <v>103</v>
      </c>
      <c r="B174" s="172"/>
      <c r="C174" s="82"/>
      <c r="D174" s="82"/>
      <c r="E174" s="172"/>
    </row>
    <row r="175" spans="1:5" ht="15.5" outlineLevel="1" thickBot="1">
      <c r="A175" s="110"/>
      <c r="B175" s="111"/>
      <c r="C175" s="112"/>
      <c r="D175" s="112"/>
      <c r="E175" s="111"/>
    </row>
    <row r="176" spans="1:5" ht="14" outlineLevel="1" thickBot="1">
      <c r="A176" s="83" t="s">
        <v>639</v>
      </c>
      <c r="B176" s="113" t="s">
        <v>102</v>
      </c>
      <c r="C176" s="106"/>
      <c r="D176" s="106"/>
      <c r="E176" s="94"/>
    </row>
    <row r="177" spans="1:5" outlineLevel="1">
      <c r="A177" s="114"/>
      <c r="B177" s="115"/>
      <c r="C177" s="106"/>
      <c r="D177" s="106"/>
      <c r="E177" s="94"/>
    </row>
    <row r="178" spans="1:5" ht="14" outlineLevel="1" thickBot="1">
      <c r="A178" s="116"/>
      <c r="B178" s="117"/>
    </row>
    <row r="179" spans="1:5" ht="14" outlineLevel="1" thickBot="1">
      <c r="A179" s="83" t="s">
        <v>673</v>
      </c>
      <c r="B179" s="118"/>
      <c r="C179" s="118"/>
      <c r="D179" s="118"/>
      <c r="E179" s="119"/>
    </row>
    <row r="180" spans="1:5" ht="14" outlineLevel="2" thickBot="1">
      <c r="A180" s="83" t="s">
        <v>30</v>
      </c>
      <c r="B180" s="83" t="s">
        <v>31</v>
      </c>
      <c r="C180" s="83" t="s">
        <v>32</v>
      </c>
      <c r="D180" s="83" t="s">
        <v>33</v>
      </c>
      <c r="E180" s="83" t="s">
        <v>34</v>
      </c>
    </row>
    <row r="181" spans="1:5" ht="14" outlineLevel="2" thickBot="1">
      <c r="A181" s="81" t="s">
        <v>107</v>
      </c>
      <c r="B181" s="173" t="str">
        <f>IF(AND($C$24="Yes",$B$176="Yes"),IFERROR(VLOOKUP(tblCHKLPDDR4PIN[[#This Row],[Pin Name]],tblLPDDR4[],2,FALSE),MSG!$B$10),MSG!$I$40)</f>
        <v>LPDDR4 is not used.</v>
      </c>
      <c r="C181" s="96" t="s">
        <v>1520</v>
      </c>
      <c r="D181" s="96" t="s">
        <v>22</v>
      </c>
      <c r="E181" s="173" t="str">
        <f>IF(AND($C$24="Yes",$B$176="Yes"),IFERROR(VLOOKUP(tblCHKLPDDR4PIN[[#This Row],[Pin Name]],tblLPDDR4[],3,FALSE),MSG!$B$10),MSG!$I$40)</f>
        <v>LPDDR4 is not used.</v>
      </c>
    </row>
    <row r="182" spans="1:5" ht="14" outlineLevel="2" thickBot="1">
      <c r="A182" s="81" t="s">
        <v>897</v>
      </c>
      <c r="B182" s="173" t="str">
        <f>IF(AND($C$24="Yes",$B$176="Yes"),IFERROR(VLOOKUP(tblCHKLPDDR4PIN[[#This Row],[Pin Name]],tblLPDDR4[],2,FALSE),MSG!$B$10),MSG!$I$40)</f>
        <v>LPDDR4 is not used.</v>
      </c>
      <c r="C182" s="96" t="s">
        <v>1520</v>
      </c>
      <c r="D182" s="96" t="s">
        <v>22</v>
      </c>
      <c r="E182" s="173" t="str">
        <f>IF(AND($C$24="Yes",$B$176="Yes"),IFERROR(VLOOKUP(tblCHKLPDDR4PIN[[#This Row],[Pin Name]],tblLPDDR4[],3,FALSE),MSG!$B$10),MSG!$I$40)</f>
        <v>LPDDR4 is not used.</v>
      </c>
    </row>
    <row r="183" spans="1:5" ht="14" outlineLevel="2" thickBot="1">
      <c r="A183" s="81" t="s">
        <v>663</v>
      </c>
      <c r="B183" s="173" t="str">
        <f>IF(AND($C$24="Yes",$B$176="Yes"),IFERROR(VLOOKUP(tblCHKLPDDR4PIN[[#This Row],[Pin Name]],tblLPDDR4[],2,FALSE),MSG!$B$10),MSG!$I$40)</f>
        <v>LPDDR4 is not used.</v>
      </c>
      <c r="C183" s="96" t="s">
        <v>1520</v>
      </c>
      <c r="D183" s="96" t="s">
        <v>22</v>
      </c>
      <c r="E183" s="173" t="str">
        <f>IF(AND($C$24="Yes",$B$176="Yes"),IFERROR(VLOOKUP(tblCHKLPDDR4PIN[[#This Row],[Pin Name]],tblLPDDR4[],3,FALSE),MSG!$B$10),MSG!$I$40)</f>
        <v>LPDDR4 is not used.</v>
      </c>
    </row>
    <row r="184" spans="1:5" ht="14" outlineLevel="2" thickBot="1">
      <c r="A184" s="81" t="s">
        <v>623</v>
      </c>
      <c r="B184" s="173" t="str">
        <f>IF(AND($C$24="Yes",$B$176="Yes"),IFERROR(VLOOKUP(tblCHKLPDDR4PIN[[#This Row],[Pin Name]],tblLPDDR4[],2,FALSE),MSG!$B$10),MSG!$I$40)</f>
        <v>LPDDR4 is not used.</v>
      </c>
      <c r="C184" s="96" t="s">
        <v>1520</v>
      </c>
      <c r="D184" s="96" t="s">
        <v>22</v>
      </c>
      <c r="E184" s="173" t="str">
        <f>IF(AND($C$24="Yes",$B$176="Yes"),IFERROR(VLOOKUP(tblCHKLPDDR4PIN[[#This Row],[Pin Name]],tblLPDDR4[],3,FALSE),MSG!$B$10),MSG!$I$40)</f>
        <v>LPDDR4 is not used.</v>
      </c>
    </row>
    <row r="185" spans="1:5" ht="14" outlineLevel="2" thickBot="1">
      <c r="A185" s="81" t="s">
        <v>624</v>
      </c>
      <c r="B185" s="173" t="str">
        <f>IF(AND($C$24="Yes",$B$176="Yes"),IFERROR(VLOOKUP(tblCHKLPDDR4PIN[[#This Row],[Pin Name]],tblLPDDR4[],2,FALSE),MSG!$B$10),MSG!$I$40)</f>
        <v>LPDDR4 is not used.</v>
      </c>
      <c r="C185" s="96" t="s">
        <v>1520</v>
      </c>
      <c r="D185" s="96" t="s">
        <v>22</v>
      </c>
      <c r="E185" s="173" t="str">
        <f>IF(AND($C$24="Yes",$B$176="Yes"),IFERROR(VLOOKUP(tblCHKLPDDR4PIN[[#This Row],[Pin Name]],tblLPDDR4[],3,FALSE),MSG!$B$10),MSG!$I$40)</f>
        <v>LPDDR4 is not used.</v>
      </c>
    </row>
    <row r="186" spans="1:5" ht="14" outlineLevel="2" thickBot="1">
      <c r="A186" s="81" t="s">
        <v>625</v>
      </c>
      <c r="B186" s="173" t="str">
        <f>IF(AND($C$24="Yes",$B$176="Yes"),IFERROR(VLOOKUP(tblCHKLPDDR4PIN[[#This Row],[Pin Name]],tblLPDDR4[],2,FALSE),MSG!$B$10),MSG!$I$40)</f>
        <v>LPDDR4 is not used.</v>
      </c>
      <c r="C186" s="96" t="s">
        <v>1520</v>
      </c>
      <c r="D186" s="96" t="s">
        <v>22</v>
      </c>
      <c r="E186" s="173" t="str">
        <f>IF(AND($C$24="Yes",$B$176="Yes"),IFERROR(VLOOKUP(tblCHKLPDDR4PIN[[#This Row],[Pin Name]],tblLPDDR4[],3,FALSE),MSG!$B$10),MSG!$I$40)</f>
        <v>LPDDR4 is not used.</v>
      </c>
    </row>
    <row r="187" spans="1:5" ht="14" outlineLevel="2" thickBot="1">
      <c r="A187" s="81" t="s">
        <v>626</v>
      </c>
      <c r="B187" s="173" t="str">
        <f>IF(AND($C$24="Yes",$B$176="Yes"),IFERROR(VLOOKUP(tblCHKLPDDR4PIN[[#This Row],[Pin Name]],tblLPDDR4[],2,FALSE),MSG!$B$10),MSG!$I$40)</f>
        <v>LPDDR4 is not used.</v>
      </c>
      <c r="C187" s="96" t="s">
        <v>1520</v>
      </c>
      <c r="D187" s="96" t="s">
        <v>22</v>
      </c>
      <c r="E187" s="173" t="str">
        <f>IF(AND($C$24="Yes",$B$176="Yes"),IFERROR(VLOOKUP(tblCHKLPDDR4PIN[[#This Row],[Pin Name]],tblLPDDR4[],3,FALSE),MSG!$B$10),MSG!$I$40)</f>
        <v>LPDDR4 is not used.</v>
      </c>
    </row>
    <row r="188" spans="1:5" ht="14" outlineLevel="2" thickBot="1">
      <c r="A188" s="81" t="s">
        <v>898</v>
      </c>
      <c r="B188" s="173" t="str">
        <f>IF(AND($C$24="Yes",$B$176="Yes"),IFERROR(VLOOKUP(tblCHKLPDDR4PIN[[#This Row],[Pin Name]],tblLPDDR4[],2,FALSE),MSG!$B$10),MSG!$I$40)</f>
        <v>LPDDR4 is not used.</v>
      </c>
      <c r="C188" s="96" t="s">
        <v>1520</v>
      </c>
      <c r="D188" s="96" t="s">
        <v>22</v>
      </c>
      <c r="E188" s="173" t="str">
        <f>IF(AND($C$24="Yes",$B$176="Yes"),IFERROR(VLOOKUP(tblCHKLPDDR4PIN[[#This Row],[Pin Name]],tblLPDDR4[],3,FALSE),MSG!$B$10),MSG!$I$40)</f>
        <v>LPDDR4 is not used.</v>
      </c>
    </row>
    <row r="189" spans="1:5" ht="14" outlineLevel="2" thickBot="1">
      <c r="A189" s="81" t="s">
        <v>117</v>
      </c>
      <c r="B189" s="173" t="str">
        <f>IF(AND($C$24="Yes",$B$176="Yes"),IFERROR(VLOOKUP(tblCHKLPDDR4PIN[[#This Row],[Pin Name]],tblLPDDR4[],2,FALSE),MSG!$B$10),MSG!$I$40)</f>
        <v>LPDDR4 is not used.</v>
      </c>
      <c r="C189" s="96" t="s">
        <v>1520</v>
      </c>
      <c r="D189" s="96" t="s">
        <v>22</v>
      </c>
      <c r="E189" s="173" t="str">
        <f>IF(AND($C$24="Yes",$B$176="Yes"),IFERROR(VLOOKUP(tblCHKLPDDR4PIN[[#This Row],[Pin Name]],tblLPDDR4[],3,FALSE),MSG!$B$10),MSG!$I$40)</f>
        <v>LPDDR4 is not used.</v>
      </c>
    </row>
    <row r="190" spans="1:5" ht="14" outlineLevel="2" thickBot="1">
      <c r="A190" s="81" t="s">
        <v>899</v>
      </c>
      <c r="B190" s="173" t="str">
        <f>IF(AND($C$24="Yes",$B$176="Yes"),IFERROR(VLOOKUP(tblCHKLPDDR4PIN[[#This Row],[Pin Name]],tblLPDDR4[],2,FALSE),MSG!$B$10),MSG!$I$40)</f>
        <v>LPDDR4 is not used.</v>
      </c>
      <c r="C190" s="96" t="s">
        <v>1520</v>
      </c>
      <c r="D190" s="96" t="s">
        <v>22</v>
      </c>
      <c r="E190" s="173" t="str">
        <f>IF(AND($C$24="Yes",$B$176="Yes"),IFERROR(VLOOKUP(tblCHKLPDDR4PIN[[#This Row],[Pin Name]],tblLPDDR4[],3,FALSE),MSG!$B$10),MSG!$I$40)</f>
        <v>LPDDR4 is not used.</v>
      </c>
    </row>
    <row r="191" spans="1:5" ht="14" outlineLevel="2" thickBot="1">
      <c r="A191" s="81" t="s">
        <v>900</v>
      </c>
      <c r="B191" s="173" t="str">
        <f>IF(AND($C$24="Yes",$B$176="Yes"),IFERROR(VLOOKUP(tblCHKLPDDR4PIN[[#This Row],[Pin Name]],tblLPDDR4[],2,FALSE),MSG!$B$10),MSG!$I$40)</f>
        <v>LPDDR4 is not used.</v>
      </c>
      <c r="C191" s="96" t="s">
        <v>1520</v>
      </c>
      <c r="D191" s="96" t="s">
        <v>22</v>
      </c>
      <c r="E191" s="173" t="str">
        <f>IF(AND($C$24="Yes",$B$176="Yes"),IFERROR(VLOOKUP(tblCHKLPDDR4PIN[[#This Row],[Pin Name]],tblLPDDR4[],3,FALSE),MSG!$B$10),MSG!$I$40)</f>
        <v>LPDDR4 is not used.</v>
      </c>
    </row>
    <row r="192" spans="1:5" ht="14" outlineLevel="2" collapsed="1" thickBot="1">
      <c r="A192" s="81" t="s">
        <v>892</v>
      </c>
      <c r="B192" s="173" t="str">
        <f>IF(AND($C$24="Yes",$B$176="Yes"),IFERROR(VLOOKUP(tblCHKLPDDR4PIN[[#This Row],[Pin Name]],tblLPDDR4[],2,FALSE),MSG!$B$10),MSG!$I$40)</f>
        <v>LPDDR4 is not used.</v>
      </c>
      <c r="C192" s="96" t="s">
        <v>1520</v>
      </c>
      <c r="D192" s="96" t="s">
        <v>22</v>
      </c>
      <c r="E192" s="173" t="str">
        <f>IF(AND($C$24="Yes",$B$176="Yes"),IFERROR(VLOOKUP(tblCHKLPDDR4PIN[[#This Row],[Pin Name]],tblLPDDR4[],3,FALSE),MSG!$B$10),MSG!$I$40)</f>
        <v>LPDDR4 is not used.</v>
      </c>
    </row>
    <row r="193" spans="1:5" ht="14" outlineLevel="1" thickBot="1">
      <c r="A193" s="83" t="s">
        <v>674</v>
      </c>
      <c r="B193" s="118"/>
      <c r="C193" s="118"/>
      <c r="D193" s="118"/>
      <c r="E193" s="119"/>
    </row>
    <row r="194" spans="1:5" ht="14" outlineLevel="2" thickBot="1">
      <c r="A194" s="83" t="s">
        <v>30</v>
      </c>
      <c r="B194" s="83" t="s">
        <v>31</v>
      </c>
      <c r="C194" s="83" t="s">
        <v>32</v>
      </c>
      <c r="D194" s="83" t="s">
        <v>33</v>
      </c>
      <c r="E194" s="83" t="s">
        <v>34</v>
      </c>
    </row>
    <row r="195" spans="1:5" ht="14" outlineLevel="2" thickBot="1">
      <c r="A195" s="81" t="s">
        <v>119</v>
      </c>
      <c r="B195" s="173" t="str">
        <f>IF(AND($C$24="Yes",$B$176="Yes"),IFERROR(VLOOKUP(tblCHKLPDDR4TER[[#This Row],[Pin Name]],tblLPDDR4TER[],2,FALSE),MSG!$B$10),MSG!$I$40)</f>
        <v>LPDDR4 is not used.</v>
      </c>
      <c r="C195" s="96" t="s">
        <v>1520</v>
      </c>
      <c r="D195" s="96" t="s">
        <v>22</v>
      </c>
      <c r="E195" s="173" t="str">
        <f>IF(AND($C$24="Yes",$B$176="Yes"),IFERROR(VLOOKUP(tblCHKLPDDR4TER[[#This Row],[Pin Name]],tblLPDDR4TER[],3,FALSE),MSG!$B$10),MSG!$I$40)</f>
        <v>LPDDR4 is not used.</v>
      </c>
    </row>
    <row r="196" spans="1:5" ht="14" outlineLevel="2" thickBot="1">
      <c r="A196" s="81" t="s">
        <v>120</v>
      </c>
      <c r="B196" s="173" t="str">
        <f>IF(AND($C$24="Yes",$B$176="Yes"),IFERROR(VLOOKUP(tblCHKLPDDR4TER[[#This Row],[Pin Name]],tblLPDDR4TER[],2,FALSE),MSG!$B$10),MSG!$I$40)</f>
        <v>LPDDR4 is not used.</v>
      </c>
      <c r="C196" s="96" t="s">
        <v>1520</v>
      </c>
      <c r="D196" s="96" t="s">
        <v>22</v>
      </c>
      <c r="E196" s="173" t="str">
        <f>IF(AND($C$24="Yes",$B$176="Yes"),IFERROR(VLOOKUP(tblCHKLPDDR4TER[[#This Row],[Pin Name]],tblLPDDR4TER[],3,FALSE),MSG!$B$10),MSG!$I$40)</f>
        <v>LPDDR4 is not used.</v>
      </c>
    </row>
    <row r="197" spans="1:5" ht="41" outlineLevel="2" thickBot="1">
      <c r="A197" s="81" t="s">
        <v>627</v>
      </c>
      <c r="B197" s="173" t="str">
        <f>IF(AND($C$24="Yes",$B$176="Yes"),IFERROR(VLOOKUP(tblCHKLPDDR4TER[[#This Row],[Pin Name]],tblLPDDR4TER[],2,FALSE),MSG!$B$10),MSG!$I$40)</f>
        <v>LPDDR4 is not used.</v>
      </c>
      <c r="C197" s="96" t="s">
        <v>1520</v>
      </c>
      <c r="D197" s="96" t="s">
        <v>22</v>
      </c>
      <c r="E197" s="173" t="str">
        <f>IF(AND($C$24="Yes",$B$176="Yes"),IFERROR(VLOOKUP(tblCHKLPDDR4TER[[#This Row],[Pin Name]],tblLPDDR4TER[],3,FALSE),MSG!$B$10),MSG!$I$40)</f>
        <v>LPDDR4 is not used.</v>
      </c>
    </row>
    <row r="198" spans="1:5" ht="14" outlineLevel="2" thickBot="1">
      <c r="A198" s="81" t="s">
        <v>628</v>
      </c>
      <c r="B198" s="173" t="str">
        <f>IF(AND($C$24="Yes",$B$176="Yes"),IFERROR(VLOOKUP(tblCHKLPDDR4TER[[#This Row],[Pin Name]],tblLPDDR4TER[],2,FALSE),MSG!$B$10),MSG!$I$40)</f>
        <v>LPDDR4 is not used.</v>
      </c>
      <c r="C198" s="96" t="s">
        <v>1520</v>
      </c>
      <c r="D198" s="96" t="s">
        <v>22</v>
      </c>
      <c r="E198" s="173" t="str">
        <f>IF(AND($C$24="Yes",$B$176="Yes"),IFERROR(VLOOKUP(tblCHKLPDDR4TER[[#This Row],[Pin Name]],tblLPDDR4TER[],3,FALSE),MSG!$B$10),MSG!$I$40)</f>
        <v>LPDDR4 is not used.</v>
      </c>
    </row>
    <row r="199" spans="1:5" ht="27.5" outlineLevel="2" thickBot="1">
      <c r="A199" s="81" t="s">
        <v>630</v>
      </c>
      <c r="B199" s="173" t="str">
        <f>IF(AND($C$24="Yes",$B$176="Yes"),IFERROR(VLOOKUP(tblCHKLPDDR4TER[[#This Row],[Pin Name]],tblLPDDR4TER[],2,FALSE),MSG!$B$10),MSG!$I$40)</f>
        <v>LPDDR4 is not used.</v>
      </c>
      <c r="C199" s="96" t="s">
        <v>1520</v>
      </c>
      <c r="D199" s="96" t="s">
        <v>22</v>
      </c>
      <c r="E199" s="173" t="str">
        <f>IF(AND($C$24="Yes",$B$176="Yes"),IFERROR(VLOOKUP(tblCHKLPDDR4TER[[#This Row],[Pin Name]],tblLPDDR4TER[],3,FALSE),MSG!$B$10),MSG!$I$40)</f>
        <v>LPDDR4 is not used.</v>
      </c>
    </row>
    <row r="200" spans="1:5" ht="14" outlineLevel="2" thickBot="1">
      <c r="A200" s="81" t="s">
        <v>632</v>
      </c>
      <c r="B200" s="173" t="str">
        <f>IF(AND($C$24="Yes",$B$176="Yes"),IFERROR(VLOOKUP(tblCHKLPDDR4TER[[#This Row],[Pin Name]],tblLPDDR4TER[],2,FALSE),MSG!$B$10),MSG!$I$40)</f>
        <v>LPDDR4 is not used.</v>
      </c>
      <c r="C200" s="96" t="s">
        <v>1520</v>
      </c>
      <c r="D200" s="96" t="s">
        <v>22</v>
      </c>
      <c r="E200" s="173" t="str">
        <f>IF(AND($C$24="Yes",$B$176="Yes"),IFERROR(VLOOKUP(tblCHKLPDDR4TER[[#This Row],[Pin Name]],tblLPDDR4TER[],3,FALSE),MSG!$B$10),MSG!$I$40)</f>
        <v>LPDDR4 is not used.</v>
      </c>
    </row>
    <row r="201" spans="1:5" ht="14" outlineLevel="2" thickBot="1">
      <c r="A201" s="81" t="s">
        <v>634</v>
      </c>
      <c r="B201" s="173" t="str">
        <f>IF(AND($C$24="Yes",$B$176="Yes"),IFERROR(VLOOKUP(tblCHKLPDDR4TER[[#This Row],[Pin Name]],tblLPDDR4TER[],2,FALSE),MSG!$B$10),MSG!$I$40)</f>
        <v>LPDDR4 is not used.</v>
      </c>
      <c r="C201" s="96" t="s">
        <v>1520</v>
      </c>
      <c r="D201" s="96" t="s">
        <v>22</v>
      </c>
      <c r="E201" s="173" t="str">
        <f>IF(AND($C$24="Yes",$B$176="Yes"),IFERROR(VLOOKUP(tblCHKLPDDR4TER[[#This Row],[Pin Name]],tblLPDDR4TER[],3,FALSE),MSG!$B$10),MSG!$I$40)</f>
        <v>LPDDR4 is not used.</v>
      </c>
    </row>
    <row r="202" spans="1:5" ht="14" outlineLevel="2" thickBot="1">
      <c r="A202" s="81" t="s">
        <v>902</v>
      </c>
      <c r="B202" s="173" t="str">
        <f>IF(AND($C$24="Yes",$B$176="Yes"),IFERROR(VLOOKUP(tblCHKLPDDR4TER[[#This Row],[Pin Name]],tblLPDDR4TER[],2,FALSE),MSG!$B$10),MSG!$I$40)</f>
        <v>LPDDR4 is not used.</v>
      </c>
      <c r="C202" s="96" t="s">
        <v>1520</v>
      </c>
      <c r="D202" s="96" t="s">
        <v>22</v>
      </c>
      <c r="E202" s="173" t="str">
        <f>IF(AND($C$24="Yes",$B$176="Yes"),IFERROR(VLOOKUP(tblCHKLPDDR4TER[[#This Row],[Pin Name]],tblLPDDR4TER[],3,FALSE),MSG!$B$10),MSG!$I$40)</f>
        <v>LPDDR4 is not used.</v>
      </c>
    </row>
    <row r="203" spans="1:5" ht="14" outlineLevel="2" thickBot="1">
      <c r="A203" s="81" t="s">
        <v>903</v>
      </c>
      <c r="B203" s="173" t="str">
        <f>IF(AND($C$24="Yes",$B$176="Yes"),IFERROR(VLOOKUP(tblCHKLPDDR4TER[[#This Row],[Pin Name]],tblLPDDR4TER[],2,FALSE),MSG!$B$10),MSG!$I$40)</f>
        <v>LPDDR4 is not used.</v>
      </c>
      <c r="C203" s="96" t="s">
        <v>1520</v>
      </c>
      <c r="D203" s="96" t="s">
        <v>22</v>
      </c>
      <c r="E203" s="173" t="str">
        <f>IF(AND($C$24="Yes",$B$176="Yes"),IFERROR(VLOOKUP(tblCHKLPDDR4TER[[#This Row],[Pin Name]],tblLPDDR4TER[],3,FALSE),MSG!$B$10),MSG!$I$40)</f>
        <v>LPDDR4 is not used.</v>
      </c>
    </row>
    <row r="204" spans="1:5" ht="14" outlineLevel="2" thickBot="1">
      <c r="A204" s="81" t="s">
        <v>117</v>
      </c>
      <c r="B204" s="173" t="str">
        <f>IF(AND($C$24="Yes",$B$176="Yes"),IFERROR(VLOOKUP(tblCHKLPDDR4TER[[#This Row],[Pin Name]],tblLPDDR4TER[],2,FALSE),MSG!$B$10),MSG!$I$40)</f>
        <v>LPDDR4 is not used.</v>
      </c>
      <c r="C204" s="96" t="s">
        <v>1520</v>
      </c>
      <c r="D204" s="96" t="s">
        <v>22</v>
      </c>
      <c r="E204" s="173" t="str">
        <f>IF(AND($C$24="Yes",$B$176="Yes"),IFERROR(VLOOKUP(tblCHKLPDDR4TER[[#This Row],[Pin Name]],tblLPDDR4TER[],3,FALSE),MSG!$B$10),MSG!$I$40)</f>
        <v>LPDDR4 is not used.</v>
      </c>
    </row>
    <row r="205" spans="1:5" ht="14" outlineLevel="2" thickBot="1">
      <c r="A205" s="81" t="s">
        <v>636</v>
      </c>
      <c r="B205" s="173" t="str">
        <f>IF(AND($C$24="Yes",$B$176="Yes"),IFERROR(VLOOKUP(tblCHKLPDDR4TER[[#This Row],[Pin Name]],tblLPDDR4TER[],2,FALSE),MSG!$B$10),MSG!$I$40)</f>
        <v>LPDDR4 is not used.</v>
      </c>
      <c r="C205" s="96" t="s">
        <v>1520</v>
      </c>
      <c r="D205" s="96" t="s">
        <v>22</v>
      </c>
      <c r="E205" s="173" t="str">
        <f>IF(AND($C$24="Yes",$B$176="Yes"),IFERROR(VLOOKUP(tblCHKLPDDR4TER[[#This Row],[Pin Name]],tblLPDDR4TER[],3,FALSE),MSG!$B$10),MSG!$I$40)</f>
        <v>LPDDR4 is not used.</v>
      </c>
    </row>
    <row r="206" spans="1:5" s="91" customFormat="1" ht="15.5" outlineLevel="2" collapsed="1" thickBot="1">
      <c r="A206" s="81" t="s">
        <v>898</v>
      </c>
      <c r="B206" s="173" t="str">
        <f>IF(AND($C$24="Yes",$B$176="Yes"),IFERROR(VLOOKUP(tblCHKLPDDR4TER[[#This Row],[Pin Name]],tblLPDDR4TER[],2,FALSE),MSG!$B$10),MSG!$I$40)</f>
        <v>LPDDR4 is not used.</v>
      </c>
      <c r="C206" s="96" t="s">
        <v>1520</v>
      </c>
      <c r="D206" s="96" t="s">
        <v>22</v>
      </c>
      <c r="E206" s="173" t="str">
        <f>IF(AND($C$24="Yes",$B$176="Yes"),IFERROR(VLOOKUP(tblCHKLPDDR4TER[[#This Row],[Pin Name]],tblLPDDR4TER[],3,FALSE),MSG!$B$10),MSG!$I$40)</f>
        <v>LPDDR4 is not used.</v>
      </c>
    </row>
    <row r="207" spans="1:5" s="91" customFormat="1" ht="15" outlineLevel="1">
      <c r="A207" s="120"/>
      <c r="B207" s="120"/>
      <c r="C207" s="100"/>
      <c r="D207" s="100"/>
      <c r="E207" s="120"/>
    </row>
    <row r="208" spans="1:5" s="91" customFormat="1" ht="15">
      <c r="A208" s="85"/>
      <c r="B208" s="85"/>
      <c r="C208" s="86"/>
      <c r="D208" s="86"/>
      <c r="E208" s="85"/>
    </row>
    <row r="209" spans="1:5" s="91" customFormat="1" ht="15">
      <c r="A209" s="85"/>
      <c r="B209" s="85"/>
      <c r="C209" s="86"/>
      <c r="D209" s="86"/>
      <c r="E209" s="85"/>
    </row>
    <row r="210" spans="1:5" s="91" customFormat="1" ht="15">
      <c r="A210" s="82" t="s">
        <v>167</v>
      </c>
      <c r="B210" s="172"/>
      <c r="C210" s="82"/>
      <c r="D210" s="82"/>
      <c r="E210" s="172"/>
    </row>
    <row r="211" spans="1:5" ht="14" outlineLevel="1" thickBot="1">
      <c r="A211" s="94"/>
      <c r="B211" s="94"/>
      <c r="C211" s="106"/>
      <c r="D211" s="106"/>
      <c r="E211" s="94"/>
    </row>
    <row r="212" spans="1:5" ht="14" outlineLevel="1" thickBot="1">
      <c r="A212" s="83" t="s">
        <v>168</v>
      </c>
      <c r="B212" s="102" t="s">
        <v>25</v>
      </c>
      <c r="C212" s="106"/>
      <c r="D212" s="106"/>
      <c r="E212" s="94"/>
    </row>
    <row r="213" spans="1:5" ht="14" outlineLevel="1" thickBot="1">
      <c r="A213" s="83" t="s">
        <v>169</v>
      </c>
      <c r="B213" s="102" t="s">
        <v>25</v>
      </c>
      <c r="C213" s="106"/>
      <c r="D213" s="106"/>
      <c r="E213" s="94"/>
    </row>
    <row r="214" spans="1:5" ht="14" outlineLevel="1" thickBot="1">
      <c r="A214" s="83" t="s">
        <v>170</v>
      </c>
      <c r="B214" s="102" t="s">
        <v>25</v>
      </c>
      <c r="C214" s="106"/>
      <c r="D214" s="106"/>
      <c r="E214" s="94"/>
    </row>
    <row r="215" spans="1:5" ht="14" outlineLevel="1" thickBot="1">
      <c r="A215" s="83" t="s">
        <v>171</v>
      </c>
      <c r="B215" s="102" t="s">
        <v>25</v>
      </c>
      <c r="C215" s="106"/>
      <c r="D215" s="106"/>
      <c r="E215" s="94"/>
    </row>
    <row r="216" spans="1:5" ht="14" outlineLevel="1" thickBot="1">
      <c r="A216" s="83" t="s">
        <v>172</v>
      </c>
      <c r="B216" s="102" t="s">
        <v>25</v>
      </c>
      <c r="C216" s="106"/>
      <c r="D216" s="106"/>
      <c r="E216" s="94"/>
    </row>
    <row r="217" spans="1:5" ht="14" outlineLevel="1" thickBot="1">
      <c r="A217" s="83" t="s">
        <v>173</v>
      </c>
      <c r="B217" s="102" t="s">
        <v>25</v>
      </c>
      <c r="C217" s="106"/>
      <c r="D217" s="106"/>
      <c r="E217" s="94"/>
    </row>
    <row r="218" spans="1:5" ht="14" outlineLevel="1" thickBot="1">
      <c r="A218" s="83" t="s">
        <v>174</v>
      </c>
      <c r="B218" s="102" t="s">
        <v>25</v>
      </c>
      <c r="C218" s="106"/>
      <c r="D218" s="106"/>
      <c r="E218" s="94"/>
    </row>
    <row r="219" spans="1:5" ht="14" outlineLevel="1" thickBot="1">
      <c r="A219" s="83" t="s">
        <v>570</v>
      </c>
      <c r="B219" s="102" t="s">
        <v>25</v>
      </c>
      <c r="C219" s="106"/>
      <c r="D219" s="106"/>
      <c r="E219" s="94"/>
    </row>
    <row r="220" spans="1:5" ht="14" outlineLevel="1" thickBot="1">
      <c r="A220" s="83" t="s">
        <v>175</v>
      </c>
      <c r="B220" s="102" t="s">
        <v>25</v>
      </c>
      <c r="C220" s="106"/>
      <c r="D220" s="106"/>
      <c r="E220" s="94"/>
    </row>
    <row r="221" spans="1:5" ht="14" outlineLevel="1" collapsed="1" thickBot="1">
      <c r="A221" s="83" t="s">
        <v>176</v>
      </c>
      <c r="B221" s="102" t="s">
        <v>25</v>
      </c>
      <c r="C221" s="106"/>
      <c r="D221" s="106"/>
      <c r="E221" s="94"/>
    </row>
    <row r="222" spans="1:5" ht="14" outlineLevel="1" thickBot="1">
      <c r="A222" s="83" t="s">
        <v>177</v>
      </c>
      <c r="B222" s="102" t="s">
        <v>25</v>
      </c>
      <c r="C222" s="106"/>
      <c r="D222" s="106"/>
      <c r="E222" s="94"/>
    </row>
    <row r="223" spans="1:5" ht="14" outlineLevel="1" thickBot="1">
      <c r="A223" s="94"/>
      <c r="B223" s="94"/>
      <c r="C223" s="106"/>
      <c r="D223" s="106"/>
      <c r="E223" s="94"/>
    </row>
    <row r="224" spans="1:5" ht="14" outlineLevel="1" thickBot="1">
      <c r="A224" s="83" t="s">
        <v>30</v>
      </c>
      <c r="B224" s="83" t="s">
        <v>31</v>
      </c>
      <c r="C224" s="83" t="s">
        <v>32</v>
      </c>
      <c r="D224" s="83" t="s">
        <v>33</v>
      </c>
      <c r="E224" s="83" t="s">
        <v>34</v>
      </c>
    </row>
    <row r="225" spans="1:6" ht="81.5" outlineLevel="1" thickBot="1">
      <c r="A225" s="81" t="s">
        <v>178</v>
      </c>
      <c r="B225" s="173" t="str">
        <f>IF(var_OPN&lt;&gt;"",IF(varHasHPS="Yes",IF($C$26="Yes",IFERROR(VLOOKUP(tblCHKHPSCLK[[#This Row],[Pin Name]],tblHPS_CLK,4,FALSE),MSG!$B$10),MSG!$J$12),MSG!$J$11),MSG!$J$10)</f>
        <v>Select one of the 48 HPS dedicated I/O. For details of the supported frequency, refer to the Agilex 3 FPGAs and SoCs Device Data Sheet.</v>
      </c>
      <c r="C225" s="104" t="s">
        <v>1525</v>
      </c>
      <c r="D225" s="104" t="s">
        <v>16</v>
      </c>
      <c r="E225" s="173" t="str">
        <f>IF(var_OPN&lt;&gt;"",IF(varHasHPS="Yes",IF($C$26="Yes",IFERROR(VLOOKUP(tblCHKHPSCLK[[#This Row],[Pin Name]],tblHPS_CLK,2,FALSE),MSG!$B$10),MSG!$J$12),MSG!$J$11),MSG!$J$10)</f>
        <v>Clock input pin that drives the main PLL.
Connect a single-ended clock source to this pin. The I/O standard of the clock source must be compatible with VCCIO_HPS.
If you do not intend to utilize the HPS, you cannot use the HPS_OSC_CLK.</v>
      </c>
    </row>
    <row r="226" spans="1:6" ht="14" outlineLevel="1" collapsed="1" thickBot="1">
      <c r="A226" s="121"/>
      <c r="B226" s="99"/>
      <c r="C226" s="60"/>
      <c r="F226" s="122"/>
    </row>
    <row r="227" spans="1:6" ht="14" outlineLevel="1" thickBot="1">
      <c r="A227" s="83" t="s">
        <v>179</v>
      </c>
      <c r="B227" s="122"/>
      <c r="C227" s="123"/>
      <c r="D227" s="123"/>
      <c r="E227" s="122"/>
    </row>
    <row r="228" spans="1:6" ht="14" outlineLevel="2" thickBot="1">
      <c r="A228" s="83" t="s">
        <v>30</v>
      </c>
      <c r="B228" s="83" t="s">
        <v>31</v>
      </c>
      <c r="C228" s="83" t="s">
        <v>32</v>
      </c>
      <c r="D228" s="83" t="s">
        <v>33</v>
      </c>
      <c r="E228" s="83" t="s">
        <v>34</v>
      </c>
    </row>
    <row r="229" spans="1:6" ht="108.5" outlineLevel="2" thickBot="1">
      <c r="A229" s="81" t="s">
        <v>1199</v>
      </c>
      <c r="B229" s="173" t="str">
        <f>IF(var_OPN&lt;&gt;"",IF(varHasHPS="Yes",IF($C$26="Yes",IF($B$212="Yes",IFERROR(VLOOKUP(tblCHKHPSJTAG[[#This Row],[Pin Name]],tblHPS_JTAG,4,FALSE),MSG!$B$10),MSG!$J$20),MSG!$J$12),MSG!$J$11),MSG!$J$10)</f>
        <v>HPS_IOB_9</v>
      </c>
      <c r="C229" s="90" t="s">
        <v>1526</v>
      </c>
      <c r="D229" s="90" t="s">
        <v>22</v>
      </c>
      <c r="E229" s="173" t="str">
        <f>IF(var_OPN&lt;&gt;"",IF(varHasHPS="Yes",IF($C$26="Yes",IF($B$212="Yes",IFERROR(VLOOKUP(tblCHKHPSJTAG[[#This Row],[Pin Name]],tblHPS_JTAG,2,FALSE),MSG!$B$10),MSG!$J$20),MSG!$J$12),MSG!$J$11),MSG!$J$10)</f>
        <v>HPS JTAG test clock input pin.
Connect this pin through a 1-kΩ – 10-kΩ pull-down resistor to GND. Do not drive voltage higher than the VCCIO_HPS supply.
You can use the FPGA dedicated JTAG pins as an option to access the HPS JTAG.
If you do not intend to utilize the HPS, you cannot use the HPS_IOB pins.</v>
      </c>
    </row>
    <row r="230" spans="1:6" ht="108.5" outlineLevel="2" thickBot="1">
      <c r="A230" s="81" t="s">
        <v>1201</v>
      </c>
      <c r="B230" s="173" t="str">
        <f>IF(var_OPN&lt;&gt;"",IF(varHasHPS="Yes",IF($C$26="Yes",IF($B$212="Yes",IFERROR(VLOOKUP(tblCHKHPSJTAG[[#This Row],[Pin Name]],tblHPS_JTAG,4,FALSE),MSG!$B$10),MSG!$J$20),MSG!$J$12),MSG!$J$11),MSG!$J$10)</f>
        <v>HPS_IOB_10</v>
      </c>
      <c r="C230" s="90" t="s">
        <v>1526</v>
      </c>
      <c r="D230" s="90" t="s">
        <v>22</v>
      </c>
      <c r="E230" s="173" t="str">
        <f>IF(var_OPN&lt;&gt;"",IF(varHasHPS="Yes",IF($C$26="Yes",IF($B$212="Yes",IFERROR(VLOOKUP(tblCHKHPSJTAG[[#This Row],[Pin Name]],tblHPS_JTAG,2,FALSE),MSG!$B$10),MSG!$J$20),MSG!$J$12),MSG!$J$11),MSG!$J$10)</f>
        <v>HPS JTAG test mode select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v>
      </c>
    </row>
    <row r="231" spans="1:6" ht="68" outlineLevel="2" thickBot="1">
      <c r="A231" s="81" t="s">
        <v>1203</v>
      </c>
      <c r="B231" s="173" t="str">
        <f>IF(var_OPN&lt;&gt;"",IF(varHasHPS="Yes",IF($C$26="Yes",IF($B$212="Yes",IFERROR(VLOOKUP(tblCHKHPSJTAG[[#This Row],[Pin Name]],tblHPS_JTAG,4,FALSE),MSG!$B$10),MSG!$J$20),MSG!$J$12),MSG!$J$11),MSG!$J$10)</f>
        <v>HPS_IOB_11</v>
      </c>
      <c r="C231" s="90" t="s">
        <v>1526</v>
      </c>
      <c r="D231" s="90" t="s">
        <v>22</v>
      </c>
      <c r="E231" s="173" t="str">
        <f>IF(var_OPN&lt;&gt;"",IF(varHasHPS="Yes",IF($C$26="Yes",IF($B$212="Yes",IFERROR(VLOOKUP(tblCHKHPSJTAG[[#This Row],[Pin Name]],tblHPS_JTAG,2,FALSE),MSG!$B$10),MSG!$J$20),MSG!$J$12),MSG!$J$11),MSG!$J$10)</f>
        <v>HPS JTAG test data output pin.
You can use the FPGA dedicated JTAG pins as an option to access the HPS JTAG.
If you do not intend to utilize the HPS, you cannot use the HPS_IOB pins.</v>
      </c>
    </row>
    <row r="232" spans="1:6" ht="108.5" outlineLevel="2" collapsed="1" thickBot="1">
      <c r="A232" s="81" t="s">
        <v>1205</v>
      </c>
      <c r="B232" s="173" t="str">
        <f>IF(var_OPN&lt;&gt;"",IF(varHasHPS="Yes",IF($C$26="Yes",IF($B$212="Yes",IFERROR(VLOOKUP(tblCHKHPSJTAG[[#This Row],[Pin Name]],tblHPS_JTAG,4,FALSE),MSG!$B$10),MSG!$J$20),MSG!$J$12),MSG!$J$11),MSG!$J$10)</f>
        <v>HPS_IOB_12</v>
      </c>
      <c r="C232" s="90" t="s">
        <v>1526</v>
      </c>
      <c r="D232" s="90" t="s">
        <v>22</v>
      </c>
      <c r="E232" s="173" t="str">
        <f>IF(var_OPN&lt;&gt;"",IF(varHasHPS="Yes",IF($C$26="Yes",IF($B$212="Yes",IFERROR(VLOOKUP(tblCHKHPSJTAG[[#This Row],[Pin Name]],tblHPS_JTAG,2,FALSE),MSG!$B$10),MSG!$J$20),MSG!$J$12),MSG!$J$11),MSG!$J$10)</f>
        <v>HPS JTAG test data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v>
      </c>
    </row>
    <row r="233" spans="1:6" ht="14" outlineLevel="1" thickBot="1">
      <c r="A233" s="121"/>
      <c r="B233" s="99"/>
      <c r="C233" s="60"/>
    </row>
    <row r="234" spans="1:6" ht="14" outlineLevel="1" thickBot="1">
      <c r="A234" s="83" t="s">
        <v>180</v>
      </c>
      <c r="B234" s="122"/>
      <c r="C234" s="123"/>
      <c r="D234" s="123"/>
      <c r="E234" s="122"/>
    </row>
    <row r="235" spans="1:6" ht="14" outlineLevel="2" thickBot="1">
      <c r="A235" s="83" t="s">
        <v>30</v>
      </c>
      <c r="B235" s="83" t="s">
        <v>31</v>
      </c>
      <c r="C235" s="83" t="s">
        <v>32</v>
      </c>
      <c r="D235" s="83" t="s">
        <v>33</v>
      </c>
      <c r="E235" s="83" t="s">
        <v>34</v>
      </c>
    </row>
    <row r="236" spans="1:6" ht="108.5" outlineLevel="2" thickBot="1">
      <c r="A236" s="81" t="s">
        <v>1207</v>
      </c>
      <c r="B236" s="173" t="str">
        <f>IF(var_OPN&lt;&gt;"",IF(varHasHPS="Yes",IF($C$26="Yes",IF($B$213="Yes",IFERROR(VLOOKUP(tblCHKHPSGPIO[[#This Row],[Pin Name]],tblHPS_GPIO,4,FALSE),MSG!$B$10),MSG!$J$30),MSG!$J$12),MSG!$J$11),MSG!$J$10)</f>
        <v>HPS_IOA_[1..24]
HPS_IOB_[1..24]</v>
      </c>
      <c r="C236" s="90" t="s">
        <v>1517</v>
      </c>
      <c r="D236" s="90" t="s">
        <v>16</v>
      </c>
      <c r="E236" s="173" t="str">
        <f>IF(var_OPN&lt;&gt;"",IF(varHasHPS="Yes",IF($C$26="Yes",IF($B$213="Yes",IFERROR(VLOOKUP(tblCHKHPSGPIO[[#This Row],[Pin Name]],tblHPS_GPIO,2,FALSE),MSG!$B$10),MSG!$J$30),MSG!$J$12),MSG!$J$11),MSG!$J$10)</f>
        <v>General purpose input output.
Ensure that the I/O standard used is compatible with VCCIO_HPS.
Supports 1.8 V LVCMOS I/O standard.
If you do not intend to utilize the HPS, these pins are in tristate mode with a weak pull-up enabled. Ensure that the weak high state of each pin does not cause issues with external circuitry.</v>
      </c>
    </row>
    <row r="237" spans="1:6" ht="108.5" outlineLevel="2" collapsed="1" thickBot="1">
      <c r="A237" s="81" t="s">
        <v>181</v>
      </c>
      <c r="B237" s="173" t="str">
        <f>IF(var_OPN&lt;&gt;"",IF(varHasHPS="Yes",IF($C$26="Yes",IF($B$213="Yes",IFERROR(VLOOKUP(tblCHKHPSGPIO[[#This Row],[Pin Name]],tblHPS_GPIO,4,FALSE),MSG!$B$10),MSG!$J$30),MSG!$J$12),MSG!$J$11),MSG!$J$10)</f>
        <v>HPS_IOA_[1..24]
HPS_IOB_[1..24]</v>
      </c>
      <c r="C237" s="90" t="s">
        <v>1517</v>
      </c>
      <c r="D237" s="90" t="s">
        <v>16</v>
      </c>
      <c r="E237" s="173" t="str">
        <f>IF(var_OPN&lt;&gt;"",IF(varHasHPS="Yes",IF($C$26="Yes",IF($B$213="Yes",IFERROR(VLOOKUP(tblCHKHPSGPIO[[#This Row],[Pin Name]],tblHPS_GPIO,2,FALSE),MSG!$B$10),MSG!$J$30),MSG!$J$12),MSG!$J$11),MSG!$J$10)</f>
        <v>General purpose input output.
Ensure that the I/O standard used is compatible with VCCIO_HPS.
Supports 1.8 V LVCMOS I/O standard.
If you do not intend to utilize the HPS, these pins are in tristate mode with a weak pull-up enabled. Ensure that the weak high state of each pin does not cause issues with external circuitry.</v>
      </c>
    </row>
    <row r="238" spans="1:6" ht="14" outlineLevel="1" thickBot="1">
      <c r="A238" s="121"/>
      <c r="B238" s="99"/>
      <c r="C238" s="60"/>
    </row>
    <row r="239" spans="1:6" ht="14" outlineLevel="1" thickBot="1">
      <c r="A239" s="83" t="s">
        <v>182</v>
      </c>
      <c r="B239" s="122"/>
      <c r="C239" s="123"/>
      <c r="D239" s="123"/>
      <c r="E239" s="122"/>
    </row>
    <row r="240" spans="1:6" ht="14" outlineLevel="2" thickBot="1">
      <c r="A240" s="83" t="s">
        <v>30</v>
      </c>
      <c r="B240" s="83" t="s">
        <v>31</v>
      </c>
      <c r="C240" s="83" t="s">
        <v>32</v>
      </c>
      <c r="D240" s="83" t="s">
        <v>33</v>
      </c>
      <c r="E240" s="83" t="s">
        <v>34</v>
      </c>
    </row>
    <row r="241" spans="1:6" ht="27.5" outlineLevel="2" thickBot="1">
      <c r="A241" s="81" t="s">
        <v>1209</v>
      </c>
      <c r="B241" s="173" t="str">
        <f>IF(var_OPN&lt;&gt;"",IF(varHasHPS="Yes",IF($C$26="Yes",IF($B$214="Yes",IFERROR(VLOOKUP(tblCHKHPSSDMMC[[#This Row],[Pin Name]],tblHPS_SDMMC,4,FALSE),MSG!$B$10),MSG!$J$40),MSG!$J$12),MSG!$J$11),MSG!$J$10)</f>
        <v>Group 1: HPS_IOA_3
Group 2: HPS_IOB_3</v>
      </c>
      <c r="C241" s="90" t="s">
        <v>1517</v>
      </c>
      <c r="D241" s="90" t="s">
        <v>16</v>
      </c>
      <c r="E241" s="173" t="str">
        <f>IF(var_OPN&lt;&gt;"",IF(varHasHPS="Yes",IF($C$26="Yes",IF($B$214="Yes",IFERROR(VLOOKUP(tblCHKHPSSDMMC[[#This Row],[Pin Name]],tblHPS_SDMMC,2,FALSE),MSG!$B$10),MSG!$J$40),MSG!$J$12),MSG!$J$11),MSG!$J$10)</f>
        <v>SDMMC clock out.</v>
      </c>
    </row>
    <row r="242" spans="1:6" ht="41" outlineLevel="2" thickBot="1">
      <c r="A242" s="81" t="s">
        <v>1210</v>
      </c>
      <c r="B242" s="173" t="str">
        <f>IF(var_OPN&lt;&gt;"",IF(varHasHPS="Yes",IF($C$26="Yes",IF($B$214="Yes",IFERROR(VLOOKUP(tblCHKHPSSDMMC[[#This Row],[Pin Name]],tblHPS_SDMMC,4,FALSE),MSG!$B$10),MSG!$J$40),MSG!$J$12),MSG!$J$11),MSG!$J$10)</f>
        <v>Group 1: HPS_IOA_8
Group 2: HPS_IOB_8</v>
      </c>
      <c r="C242" s="90" t="s">
        <v>1517</v>
      </c>
      <c r="D242" s="90" t="s">
        <v>16</v>
      </c>
      <c r="E242" s="173" t="str">
        <f>IF(var_OPN&lt;&gt;"",IF(varHasHPS="Yes",IF($C$26="Yes",IF($B$214="Yes",IFERROR(VLOOKUP(tblCHKHPSSDMMC[[#This Row],[Pin Name]],tblHPS_SDMMC,2,FALSE),MSG!$B$10),MSG!$J$40),MSG!$J$12),MSG!$J$11),MSG!$J$10)</f>
        <v>SDMMC command line.
Pull this pin high on the board with a weak pull-up resistor.
For example, a 10-kΩ to VCCIO_HPS.</v>
      </c>
    </row>
    <row r="243" spans="1:6" ht="27.5" outlineLevel="2" collapsed="1" thickBot="1">
      <c r="A243" s="81" t="s">
        <v>1211</v>
      </c>
      <c r="B243" s="173" t="str">
        <f>IF(var_OPN&lt;&gt;"",IF(varHasHPS="Yes",IF($C$26="Yes",IF($B$214="Yes",IFERROR(VLOOKUP(tblCHKHPSSDMMC[[#This Row],[Pin Name]],tblHPS_SDMMC,4,FALSE),MSG!$B$10),MSG!$J$40),MSG!$J$12),MSG!$J$11),MSG!$J$10)</f>
        <v>Group 1: HPS_IOA_1
Group 2: HPS_IOB_1</v>
      </c>
      <c r="C243" s="90" t="s">
        <v>1517</v>
      </c>
      <c r="D243" s="90" t="s">
        <v>16</v>
      </c>
      <c r="E243" s="173" t="str">
        <f>IF(var_OPN&lt;&gt;"",IF(varHasHPS="Yes",IF($C$26="Yes",IF($B$214="Yes",IFERROR(VLOOKUP(tblCHKHPSSDMMC[[#This Row],[Pin Name]],tblHPS_SDMMC,2,FALSE),MSG!$B$10),MSG!$J$40),MSG!$J$12),MSG!$J$11),MSG!$J$10)</f>
        <v>SDMMC Data 0.</v>
      </c>
      <c r="F243" s="122"/>
    </row>
    <row r="244" spans="1:6" ht="27.5" outlineLevel="2" thickBot="1">
      <c r="A244" s="81" t="s">
        <v>1212</v>
      </c>
      <c r="B244" s="173" t="str">
        <f>IF(var_OPN&lt;&gt;"",IF(varHasHPS="Yes",IF($C$26="Yes",IF($B$214="Yes",IFERROR(VLOOKUP(tblCHKHPSSDMMC[[#This Row],[Pin Name]],tblHPS_SDMMC,4,FALSE),MSG!$B$10),MSG!$J$40),MSG!$J$12),MSG!$J$11),MSG!$J$10)</f>
        <v>Group 1: HPS_IOA_2
Group 2: HPS_IOB_2</v>
      </c>
      <c r="C244" s="90" t="s">
        <v>1517</v>
      </c>
      <c r="D244" s="90" t="s">
        <v>16</v>
      </c>
      <c r="E244" s="173" t="str">
        <f>IF(var_OPN&lt;&gt;"",IF(varHasHPS="Yes",IF($C$26="Yes",IF($B$214="Yes",IFERROR(VLOOKUP(tblCHKHPSSDMMC[[#This Row],[Pin Name]],tblHPS_SDMMC,2,FALSE),MSG!$B$10),MSG!$J$40),MSG!$J$12),MSG!$J$11),MSG!$J$10)</f>
        <v>SDMMC Data 1.</v>
      </c>
    </row>
    <row r="245" spans="1:6" ht="27.5" outlineLevel="2" thickBot="1">
      <c r="A245" s="81" t="s">
        <v>1213</v>
      </c>
      <c r="B245" s="173" t="str">
        <f>IF(var_OPN&lt;&gt;"",IF(varHasHPS="Yes",IF($C$26="Yes",IF($B$214="Yes",IFERROR(VLOOKUP(tblCHKHPSSDMMC[[#This Row],[Pin Name]],tblHPS_SDMMC,4,FALSE),MSG!$B$10),MSG!$J$40),MSG!$J$12),MSG!$J$11),MSG!$J$10)</f>
        <v>Group 1: HPS_IOA_6
Group 2: HPS_IOB_6</v>
      </c>
      <c r="C245" s="90" t="s">
        <v>1517</v>
      </c>
      <c r="D245" s="90" t="s">
        <v>16</v>
      </c>
      <c r="E245" s="173" t="str">
        <f>IF(var_OPN&lt;&gt;"",IF(varHasHPS="Yes",IF($C$26="Yes",IF($B$214="Yes",IFERROR(VLOOKUP(tblCHKHPSSDMMC[[#This Row],[Pin Name]],tblHPS_SDMMC,2,FALSE),MSG!$B$10),MSG!$J$40),MSG!$J$12),MSG!$J$11),MSG!$J$10)</f>
        <v>SDMMC Data 2.</v>
      </c>
    </row>
    <row r="246" spans="1:6" ht="81.5" outlineLevel="2" thickBot="1">
      <c r="A246" s="81" t="s">
        <v>1214</v>
      </c>
      <c r="B246" s="173" t="str">
        <f>IF(var_OPN&lt;&gt;"",IF(varHasHPS="Yes",IF($C$26="Yes",IF($B$214="Yes",IFERROR(VLOOKUP(tblCHKHPSSDMMC[[#This Row],[Pin Name]],tblHPS_SDMMC,4,FALSE),MSG!$B$10),MSG!$J$40),MSG!$J$12),MSG!$J$11),MSG!$J$10)</f>
        <v>Group 1: HPS_IOA_7
Group 2: HPS_IOB_7</v>
      </c>
      <c r="C246" s="90" t="s">
        <v>1517</v>
      </c>
      <c r="D246" s="90" t="s">
        <v>16</v>
      </c>
      <c r="E246" s="173" t="str">
        <f>IF(var_OPN&lt;&gt;"",IF(varHasHPS="Yes",IF($C$26="Yes",IF($B$214="Yes",IFERROR(VLOOKUP(tblCHKHPSSDMMC[[#This Row],[Pin Name]],tblHPS_SDMMC,2,FALSE),MSG!$B$10),MSG!$J$40),MSG!$J$12),MSG!$J$11),MSG!$J$10)</f>
        <v>SDMMC Data 3.
When using SD card, there is an existing 50-kΩ pull-up on SDMMC Data Bit 3 which can be disabled in the HPS software by using the SET_CLR_CARD_DETECT (ACMD42) command.
This is not applicable to the eMMC flash.</v>
      </c>
    </row>
    <row r="247" spans="1:6" ht="27.5" outlineLevel="2" thickBot="1">
      <c r="A247" s="81" t="s">
        <v>1215</v>
      </c>
      <c r="B247" s="173" t="str">
        <f>IF(var_OPN&lt;&gt;"",IF(varHasHPS="Yes",IF($C$26="Yes",IF($B$214="Yes",IFERROR(VLOOKUP(tblCHKHPSSDMMC[[#This Row],[Pin Name]],tblHPS_SDMMC,4,FALSE),MSG!$B$10),MSG!$J$40),MSG!$J$12),MSG!$J$11),MSG!$J$10)</f>
        <v>Group 1: HPS_IOA_9
Group 2: HPS_IOB_9</v>
      </c>
      <c r="C247" s="90" t="s">
        <v>1526</v>
      </c>
      <c r="D247" s="90" t="s">
        <v>22</v>
      </c>
      <c r="E247" s="173" t="str">
        <f>IF(var_OPN&lt;&gt;"",IF(varHasHPS="Yes",IF($C$26="Yes",IF($B$214="Yes",IFERROR(VLOOKUP(tblCHKHPSSDMMC[[#This Row],[Pin Name]],tblHPS_SDMMC,2,FALSE),MSG!$B$10),MSG!$J$40),MSG!$J$12),MSG!$J$11),MSG!$J$10)</f>
        <v>SDMMC Data 4.</v>
      </c>
    </row>
    <row r="248" spans="1:6" ht="27.5" outlineLevel="2" thickBot="1">
      <c r="A248" s="81" t="s">
        <v>1216</v>
      </c>
      <c r="B248" s="173" t="str">
        <f>IF(var_OPN&lt;&gt;"",IF(varHasHPS="Yes",IF($C$26="Yes",IF($B$214="Yes",IFERROR(VLOOKUP(tblCHKHPSSDMMC[[#This Row],[Pin Name]],tblHPS_SDMMC,4,FALSE),MSG!$B$10),MSG!$J$40),MSG!$J$12),MSG!$J$11),MSG!$J$10)</f>
        <v>Group 1: HPS_IOA_10
Group 2: HPS_IOB_10</v>
      </c>
      <c r="C248" s="90" t="s">
        <v>1526</v>
      </c>
      <c r="D248" s="90" t="s">
        <v>22</v>
      </c>
      <c r="E248" s="173" t="str">
        <f>IF(var_OPN&lt;&gt;"",IF(varHasHPS="Yes",IF($C$26="Yes",IF($B$214="Yes",IFERROR(VLOOKUP(tblCHKHPSSDMMC[[#This Row],[Pin Name]],tblHPS_SDMMC,2,FALSE),MSG!$B$10),MSG!$J$40),MSG!$J$12),MSG!$J$11),MSG!$J$10)</f>
        <v>SDMMC Data 5.</v>
      </c>
    </row>
    <row r="249" spans="1:6" ht="27.5" outlineLevel="2" thickBot="1">
      <c r="A249" s="81" t="s">
        <v>1217</v>
      </c>
      <c r="B249" s="173" t="str">
        <f>IF(var_OPN&lt;&gt;"",IF(varHasHPS="Yes",IF($C$26="Yes",IF($B$214="Yes",IFERROR(VLOOKUP(tblCHKHPSSDMMC[[#This Row],[Pin Name]],tblHPS_SDMMC,4,FALSE),MSG!$B$10),MSG!$J$40),MSG!$J$12),MSG!$J$11),MSG!$J$10)</f>
        <v>Group 1: HPS_IOA_11
Group 2: HPS_IOB_11</v>
      </c>
      <c r="C249" s="90" t="s">
        <v>1526</v>
      </c>
      <c r="D249" s="90" t="s">
        <v>22</v>
      </c>
      <c r="E249" s="173" t="str">
        <f>IF(var_OPN&lt;&gt;"",IF(varHasHPS="Yes",IF($C$26="Yes",IF($B$214="Yes",IFERROR(VLOOKUP(tblCHKHPSSDMMC[[#This Row],[Pin Name]],tblHPS_SDMMC,2,FALSE),MSG!$B$10),MSG!$J$40),MSG!$J$12),MSG!$J$11),MSG!$J$10)</f>
        <v>SDMMC Data 6.</v>
      </c>
    </row>
    <row r="250" spans="1:6" ht="27.5" outlineLevel="2" thickBot="1">
      <c r="A250" s="81" t="s">
        <v>1218</v>
      </c>
      <c r="B250" s="173" t="str">
        <f>IF(var_OPN&lt;&gt;"",IF(varHasHPS="Yes",IF($C$26="Yes",IF($B$214="Yes",IFERROR(VLOOKUP(tblCHKHPSSDMMC[[#This Row],[Pin Name]],tblHPS_SDMMC,4,FALSE),MSG!$B$10),MSG!$J$40),MSG!$J$12),MSG!$J$11),MSG!$J$10)</f>
        <v>Group 1: HPS_IOA_12
Group 2: HPS_IOB_12</v>
      </c>
      <c r="C250" s="90" t="s">
        <v>1526</v>
      </c>
      <c r="D250" s="90" t="s">
        <v>22</v>
      </c>
      <c r="E250" s="173" t="str">
        <f>IF(var_OPN&lt;&gt;"",IF(varHasHPS="Yes",IF($C$26="Yes",IF($B$214="Yes",IFERROR(VLOOKUP(tblCHKHPSSDMMC[[#This Row],[Pin Name]],tblHPS_SDMMC,2,FALSE),MSG!$B$10),MSG!$J$40),MSG!$J$12),MSG!$J$11),MSG!$J$10)</f>
        <v>SDMMC Data 7.</v>
      </c>
    </row>
    <row r="251" spans="1:6" ht="27.5" outlineLevel="2" thickBot="1">
      <c r="A251" s="81" t="s">
        <v>571</v>
      </c>
      <c r="B251" s="173" t="str">
        <f>IF(var_OPN&lt;&gt;"",IF(varHasHPS="Yes",IF($C$26="Yes",IF($B$214="Yes",IFERROR(VLOOKUP(tblCHKHPSSDMMC[[#This Row],[Pin Name]],tblHPS_SDMMC,4,FALSE),MSG!$B$10),MSG!$J$40),MSG!$J$12),MSG!$J$11),MSG!$J$10)</f>
        <v>Group 1: HPS_IOA_14
Group 2: HPS_IOB_14</v>
      </c>
      <c r="C251" s="90" t="s">
        <v>1526</v>
      </c>
      <c r="D251" s="90" t="s">
        <v>22</v>
      </c>
      <c r="E251" s="173" t="str">
        <f>IF(var_OPN&lt;&gt;"",IF(varHasHPS="Yes",IF($C$26="Yes",IF($B$214="Yes",IFERROR(VLOOKUP(tblCHKHPSSDMMC[[#This Row],[Pin Name]],tblHPS_SDMMC,2,FALSE),MSG!$B$10),MSG!$J$40),MSG!$J$12),MSG!$J$11),MSG!$J$10)</f>
        <v>SDMMC Power Enable. Device bus power. Control switch to turn power on or off to the card. Optional.</v>
      </c>
    </row>
    <row r="252" spans="1:6" ht="27.5" outlineLevel="2" thickBot="1">
      <c r="A252" s="81" t="s">
        <v>572</v>
      </c>
      <c r="B252" s="173" t="str">
        <f>IF(var_OPN&lt;&gt;"",IF(varHasHPS="Yes",IF($C$26="Yes",IF($B$214="Yes",IFERROR(VLOOKUP(tblCHKHPSSDMMC[[#This Row],[Pin Name]],tblHPS_SDMMC,4,FALSE),MSG!$B$10),MSG!$J$40),MSG!$J$12),MSG!$J$11),MSG!$J$10)</f>
        <v>Group 1: HPS_IOA_5
Group 2: HPS_IOB_5</v>
      </c>
      <c r="C252" s="90" t="s">
        <v>1526</v>
      </c>
      <c r="D252" s="90" t="s">
        <v>22</v>
      </c>
      <c r="E252" s="173" t="str">
        <f>IF(var_OPN&lt;&gt;"",IF(varHasHPS="Yes",IF($C$26="Yes",IF($B$214="Yes",IFERROR(VLOOKUP(tblCHKHPSSDMMC[[#This Row],[Pin Name]],tblHPS_SDMMC,2,FALSE),MSG!$B$10),MSG!$J$40),MSG!$J$12),MSG!$J$11),MSG!$J$10)</f>
        <v>SDMMC Write Protect.</v>
      </c>
    </row>
    <row r="253" spans="1:6" ht="27.5" outlineLevel="2" thickBot="1">
      <c r="A253" s="81" t="s">
        <v>573</v>
      </c>
      <c r="B253" s="173" t="str">
        <f>IF(var_OPN&lt;&gt;"",IF(varHasHPS="Yes",IF($C$26="Yes",IF($B$214="Yes",IFERROR(VLOOKUP(tblCHKHPSSDMMC[[#This Row],[Pin Name]],tblHPS_SDMMC,4,FALSE),MSG!$B$10),MSG!$J$40),MSG!$J$12),MSG!$J$11),MSG!$J$10)</f>
        <v>Group 1: HPS_IOA_16
Group 2: HPS_IOB_16</v>
      </c>
      <c r="C253" s="90" t="s">
        <v>1526</v>
      </c>
      <c r="D253" s="90" t="s">
        <v>22</v>
      </c>
      <c r="E253" s="173" t="str">
        <f>IF(var_OPN&lt;&gt;"",IF(varHasHPS="Yes",IF($C$26="Yes",IF($B$214="Yes",IFERROR(VLOOKUP(tblCHKHPSSDMMC[[#This Row],[Pin Name]],tblHPS_SDMMC,2,FALSE),MSG!$B$10),MSG!$J$40),MSG!$J$12),MSG!$J$11),MSG!$J$10)</f>
        <v>SDMMC Data Strobe.</v>
      </c>
    </row>
    <row r="254" spans="1:6" ht="41" outlineLevel="2" collapsed="1" thickBot="1">
      <c r="A254" s="81" t="s">
        <v>574</v>
      </c>
      <c r="B254" s="173" t="str">
        <f>IF(var_OPN&lt;&gt;"",IF(varHasHPS="Yes",IF($C$26="Yes",IF($B$214="Yes",IFERROR(VLOOKUP(tblCHKHPSSDMMC[[#This Row],[Pin Name]],tblHPS_SDMMC,4,FALSE),MSG!$B$10),MSG!$J$40),MSG!$J$12),MSG!$J$11),MSG!$J$10)</f>
        <v>Group 1: HPS_IOA_13
Group 2: HPS_IOB_13</v>
      </c>
      <c r="C254" s="90" t="s">
        <v>1526</v>
      </c>
      <c r="D254" s="90" t="s">
        <v>22</v>
      </c>
      <c r="E254" s="173" t="str">
        <f>IF(var_OPN&lt;&gt;"",IF(varHasHPS="Yes",IF($C$26="Yes",IF($B$214="Yes",IFERROR(VLOOKUP(tblCHKHPSSDMMC[[#This Row],[Pin Name]],tblHPS_SDMMC,2,FALSE),MSG!$B$10),MSG!$J$40),MSG!$J$12),MSG!$J$11),MSG!$J$10)</f>
        <v>SDMMC pull-up/pull-down for pin DATA2. Used for 1.8 V operation without a level shifter, and LVSI compatible cards.</v>
      </c>
    </row>
    <row r="255" spans="1:6" ht="14" outlineLevel="1" thickBot="1">
      <c r="A255" s="121"/>
      <c r="B255" s="99"/>
      <c r="C255" s="60"/>
      <c r="D255" s="60"/>
    </row>
    <row r="256" spans="1:6" ht="14" outlineLevel="1" thickBot="1">
      <c r="A256" s="83" t="s">
        <v>183</v>
      </c>
      <c r="B256" s="122"/>
      <c r="C256" s="123"/>
      <c r="D256" s="123"/>
      <c r="E256" s="122"/>
    </row>
    <row r="257" spans="1:5" ht="14" outlineLevel="2" thickBot="1">
      <c r="A257" s="83" t="s">
        <v>30</v>
      </c>
      <c r="B257" s="83" t="s">
        <v>31</v>
      </c>
      <c r="C257" s="83" t="s">
        <v>32</v>
      </c>
      <c r="D257" s="83" t="s">
        <v>33</v>
      </c>
      <c r="E257" s="83" t="s">
        <v>34</v>
      </c>
    </row>
    <row r="258" spans="1:5" ht="27.5" outlineLevel="2" thickBot="1">
      <c r="A258" s="81" t="s">
        <v>1219</v>
      </c>
      <c r="B258" s="173" t="str">
        <f>IF(var_OPN&lt;&gt;"",IF(varHasHPS="Yes",IF($C$26="Yes",IF($B$215="Yes",IFERROR(VLOOKUP(tblCHKHPSNAND[[#This Row],[Pin Name]],tblHPS_NAND,4,FALSE),MSG!$B$10),MSG!$J$50),MSG!$J$12),MSG!$J$11),MSG!$J$10)</f>
        <v>Group 1: HPS_IOA_1
Group 2: HPS_IOB_1</v>
      </c>
      <c r="C258" s="90" t="s">
        <v>22</v>
      </c>
      <c r="D258" s="90" t="s">
        <v>22</v>
      </c>
      <c r="E258" s="173" t="str">
        <f>IF(var_OPN&lt;&gt;"",IF(varHasHPS="Yes",IF($C$26="Yes",IF($B$215="Yes",IFERROR(VLOOKUP(tblCHKHPSNAND[[#This Row],[Pin Name]],tblHPS_NAND,2,FALSE),MSG!$B$10),MSG!$J$50),MSG!$J$12),MSG!$J$11),MSG!$J$10)</f>
        <v>NAND Data Bit 0.</v>
      </c>
    </row>
    <row r="259" spans="1:5" ht="27.5" outlineLevel="2" thickBot="1">
      <c r="A259" s="81" t="s">
        <v>1220</v>
      </c>
      <c r="B259" s="173" t="str">
        <f>IF(var_OPN&lt;&gt;"",IF(varHasHPS="Yes",IF($C$26="Yes",IF($B$215="Yes",IFERROR(VLOOKUP(tblCHKHPSNAND[[#This Row],[Pin Name]],tblHPS_NAND,4,FALSE),MSG!$B$10),MSG!$J$50),MSG!$J$12),MSG!$J$11),MSG!$J$10)</f>
        <v>Group 1: HPS_IOA_2
Group 2: HPS_IOB_2</v>
      </c>
      <c r="C259" s="90" t="s">
        <v>22</v>
      </c>
      <c r="D259" s="90" t="s">
        <v>22</v>
      </c>
      <c r="E259" s="173" t="str">
        <f>IF(var_OPN&lt;&gt;"",IF(varHasHPS="Yes",IF($C$26="Yes",IF($B$215="Yes",IFERROR(VLOOKUP(tblCHKHPSNAND[[#This Row],[Pin Name]],tblHPS_NAND,2,FALSE),MSG!$B$10),MSG!$J$50),MSG!$J$12),MSG!$J$11),MSG!$J$10)</f>
        <v>NAND Data Bit 1.</v>
      </c>
    </row>
    <row r="260" spans="1:5" ht="27.5" outlineLevel="2" thickBot="1">
      <c r="A260" s="81" t="s">
        <v>1221</v>
      </c>
      <c r="B260" s="173" t="str">
        <f>IF(var_OPN&lt;&gt;"",IF(varHasHPS="Yes",IF($C$26="Yes",IF($B$215="Yes",IFERROR(VLOOKUP(tblCHKHPSNAND[[#This Row],[Pin Name]],tblHPS_NAND,4,FALSE),MSG!$B$10),MSG!$J$50),MSG!$J$12),MSG!$J$11),MSG!$J$10)</f>
        <v>Group 1: HPS_IOA_3
Group 2: HPS_IOB_3</v>
      </c>
      <c r="C260" s="90" t="s">
        <v>22</v>
      </c>
      <c r="D260" s="90" t="s">
        <v>22</v>
      </c>
      <c r="E260" s="173" t="str">
        <f>IF(var_OPN&lt;&gt;"",IF(varHasHPS="Yes",IF($C$26="Yes",IF($B$215="Yes",IFERROR(VLOOKUP(tblCHKHPSNAND[[#This Row],[Pin Name]],tblHPS_NAND,2,FALSE),MSG!$B$10),MSG!$J$50),MSG!$J$12),MSG!$J$11),MSG!$J$10)</f>
        <v>NAND Write Enable.
This is an active-low signal.</v>
      </c>
    </row>
    <row r="261" spans="1:5" ht="27.5" outlineLevel="2" thickBot="1">
      <c r="A261" s="81" t="s">
        <v>1222</v>
      </c>
      <c r="B261" s="173" t="str">
        <f>IF(var_OPN&lt;&gt;"",IF(varHasHPS="Yes",IF($C$26="Yes",IF($B$215="Yes",IFERROR(VLOOKUP(tblCHKHPSNAND[[#This Row],[Pin Name]],tblHPS_NAND,4,FALSE),MSG!$B$10),MSG!$J$50),MSG!$J$12),MSG!$J$11),MSG!$J$10)</f>
        <v>Group 1: HPS_IOA_4
Group 2: HPS_IOB_4</v>
      </c>
      <c r="C261" s="90" t="s">
        <v>22</v>
      </c>
      <c r="D261" s="90" t="s">
        <v>22</v>
      </c>
      <c r="E261" s="173" t="str">
        <f>IF(var_OPN&lt;&gt;"",IF(varHasHPS="Yes",IF($C$26="Yes",IF($B$215="Yes",IFERROR(VLOOKUP(tblCHKHPSNAND[[#This Row],[Pin Name]],tblHPS_NAND,2,FALSE),MSG!$B$10),MSG!$J$50),MSG!$J$12),MSG!$J$11),MSG!$J$10)</f>
        <v>NAND Read Enable.
This is an active-low signal.</v>
      </c>
    </row>
    <row r="262" spans="1:5" ht="27.5" outlineLevel="2" thickBot="1">
      <c r="A262" s="81" t="s">
        <v>1223</v>
      </c>
      <c r="B262" s="173" t="str">
        <f>IF(var_OPN&lt;&gt;"",IF(varHasHPS="Yes",IF($C$26="Yes",IF($B$215="Yes",IFERROR(VLOOKUP(tblCHKHPSNAND[[#This Row],[Pin Name]],tblHPS_NAND,4,FALSE),MSG!$B$10),MSG!$J$50),MSG!$J$12),MSG!$J$11),MSG!$J$10)</f>
        <v>Group 1: HPS_IOA_5
Group 2: HPS_IOB_5</v>
      </c>
      <c r="C262" s="90" t="s">
        <v>22</v>
      </c>
      <c r="D262" s="90" t="s">
        <v>22</v>
      </c>
      <c r="E262" s="173" t="str">
        <f>IF(var_OPN&lt;&gt;"",IF(varHasHPS="Yes",IF($C$26="Yes",IF($B$215="Yes",IFERROR(VLOOKUP(tblCHKHPSNAND[[#This Row],[Pin Name]],tblHPS_NAND,2,FALSE),MSG!$B$10),MSG!$J$50),MSG!$J$12),MSG!$J$11),MSG!$J$10)</f>
        <v>NAND Write Protect.
This is an active-low signal.</v>
      </c>
    </row>
    <row r="263" spans="1:5" ht="27.5" outlineLevel="2" thickBot="1">
      <c r="A263" s="81" t="s">
        <v>1224</v>
      </c>
      <c r="B263" s="173" t="str">
        <f>IF(var_OPN&lt;&gt;"",IF(varHasHPS="Yes",IF($C$26="Yes",IF($B$215="Yes",IFERROR(VLOOKUP(tblCHKHPSNAND[[#This Row],[Pin Name]],tblHPS_NAND,4,FALSE),MSG!$B$10),MSG!$J$50),MSG!$J$12),MSG!$J$11),MSG!$J$10)</f>
        <v>Group 1: HPS_IOA_6
Group 2: HPS_IOB_6</v>
      </c>
      <c r="C263" s="90" t="s">
        <v>22</v>
      </c>
      <c r="D263" s="90" t="s">
        <v>22</v>
      </c>
      <c r="E263" s="173" t="str">
        <f>IF(var_OPN&lt;&gt;"",IF(varHasHPS="Yes",IF($C$26="Yes",IF($B$215="Yes",IFERROR(VLOOKUP(tblCHKHPSNAND[[#This Row],[Pin Name]],tblHPS_NAND,2,FALSE),MSG!$B$10),MSG!$J$50),MSG!$J$12),MSG!$J$11),MSG!$J$10)</f>
        <v>NAND Data Bit 2</v>
      </c>
    </row>
    <row r="264" spans="1:5" ht="27.5" outlineLevel="2" thickBot="1">
      <c r="A264" s="81" t="s">
        <v>1225</v>
      </c>
      <c r="B264" s="173" t="str">
        <f>IF(var_OPN&lt;&gt;"",IF(varHasHPS="Yes",IF($C$26="Yes",IF($B$215="Yes",IFERROR(VLOOKUP(tblCHKHPSNAND[[#This Row],[Pin Name]],tblHPS_NAND,4,FALSE),MSG!$B$10),MSG!$J$50),MSG!$J$12),MSG!$J$11),MSG!$J$10)</f>
        <v>Group 1: HPS_IOA_7
Group 2: HPS_IOB_7</v>
      </c>
      <c r="C264" s="90" t="s">
        <v>22</v>
      </c>
      <c r="D264" s="90" t="s">
        <v>22</v>
      </c>
      <c r="E264" s="173" t="str">
        <f>IF(var_OPN&lt;&gt;"",IF(varHasHPS="Yes",IF($C$26="Yes",IF($B$215="Yes",IFERROR(VLOOKUP(tblCHKHPSNAND[[#This Row],[Pin Name]],tblHPS_NAND,2,FALSE),MSG!$B$10),MSG!$J$50),MSG!$J$12),MSG!$J$11),MSG!$J$10)</f>
        <v>NAND Data Bit 3</v>
      </c>
    </row>
    <row r="265" spans="1:5" ht="27.5" outlineLevel="2" thickBot="1">
      <c r="A265" s="81" t="s">
        <v>1226</v>
      </c>
      <c r="B265" s="173" t="str">
        <f>IF(var_OPN&lt;&gt;"",IF(varHasHPS="Yes",IF($C$26="Yes",IF($B$215="Yes",IFERROR(VLOOKUP(tblCHKHPSNAND[[#This Row],[Pin Name]],tblHPS_NAND,4,FALSE),MSG!$B$10),MSG!$J$50),MSG!$J$12),MSG!$J$11),MSG!$J$10)</f>
        <v>Group 1: HPS_IOA_8
Group 2: HPS_IOB_8</v>
      </c>
      <c r="C265" s="90" t="s">
        <v>22</v>
      </c>
      <c r="D265" s="90" t="s">
        <v>22</v>
      </c>
      <c r="E265" s="173" t="str">
        <f>IF(var_OPN&lt;&gt;"",IF(varHasHPS="Yes",IF($C$26="Yes",IF($B$215="Yes",IFERROR(VLOOKUP(tblCHKHPSNAND[[#This Row],[Pin Name]],tblHPS_NAND,2,FALSE),MSG!$B$10),MSG!$J$50),MSG!$J$12),MSG!$J$11),MSG!$J$10)</f>
        <v>NAND Command Latch Enable.
This is an active-high signal.</v>
      </c>
    </row>
    <row r="266" spans="1:5" ht="27.5" outlineLevel="2" thickBot="1">
      <c r="A266" s="81" t="s">
        <v>1227</v>
      </c>
      <c r="B266" s="173" t="str">
        <f>IF(var_OPN&lt;&gt;"",IF(varHasHPS="Yes",IF($C$26="Yes",IF($B$215="Yes",IFERROR(VLOOKUP(tblCHKHPSNAND[[#This Row],[Pin Name]],tblHPS_NAND,4,FALSE),MSG!$B$10),MSG!$J$50),MSG!$J$12),MSG!$J$11),MSG!$J$10)</f>
        <v>Group 1: HPS_IOA_9
Group 2: HPS_IOB_9</v>
      </c>
      <c r="C266" s="90" t="s">
        <v>22</v>
      </c>
      <c r="D266" s="90" t="s">
        <v>22</v>
      </c>
      <c r="E266" s="173" t="str">
        <f>IF(var_OPN&lt;&gt;"",IF(varHasHPS="Yes",IF($C$26="Yes",IF($B$215="Yes",IFERROR(VLOOKUP(tblCHKHPSNAND[[#This Row],[Pin Name]],tblHPS_NAND,2,FALSE),MSG!$B$10),MSG!$J$50),MSG!$J$12),MSG!$J$11),MSG!$J$10)</f>
        <v>NAND Data Bit 4.</v>
      </c>
    </row>
    <row r="267" spans="1:5" ht="27.5" outlineLevel="2" thickBot="1">
      <c r="A267" s="81" t="s">
        <v>1228</v>
      </c>
      <c r="B267" s="173" t="str">
        <f>IF(var_OPN&lt;&gt;"",IF(varHasHPS="Yes",IF($C$26="Yes",IF($B$215="Yes",IFERROR(VLOOKUP(tblCHKHPSNAND[[#This Row],[Pin Name]],tblHPS_NAND,4,FALSE),MSG!$B$10),MSG!$J$50),MSG!$J$12),MSG!$J$11),MSG!$J$10)</f>
        <v>Group 1: HPS_IOA_10
Group 2: HPS_IOB_10</v>
      </c>
      <c r="C267" s="90" t="s">
        <v>22</v>
      </c>
      <c r="D267" s="90" t="s">
        <v>22</v>
      </c>
      <c r="E267" s="173" t="str">
        <f>IF(var_OPN&lt;&gt;"",IF(varHasHPS="Yes",IF($C$26="Yes",IF($B$215="Yes",IFERROR(VLOOKUP(tblCHKHPSNAND[[#This Row],[Pin Name]],tblHPS_NAND,2,FALSE),MSG!$B$10),MSG!$J$50),MSG!$J$12),MSG!$J$11),MSG!$J$10)</f>
        <v>NAND Data Bit 5.</v>
      </c>
    </row>
    <row r="268" spans="1:5" ht="27.5" outlineLevel="2" thickBot="1">
      <c r="A268" s="81" t="s">
        <v>1229</v>
      </c>
      <c r="B268" s="173" t="str">
        <f>IF(var_OPN&lt;&gt;"",IF(varHasHPS="Yes",IF($C$26="Yes",IF($B$215="Yes",IFERROR(VLOOKUP(tblCHKHPSNAND[[#This Row],[Pin Name]],tblHPS_NAND,4,FALSE),MSG!$B$10),MSG!$J$50),MSG!$J$12),MSG!$J$11),MSG!$J$10)</f>
        <v>Group 1: HPS_IOA_11
Group 2: HPS_IOB_11</v>
      </c>
      <c r="C268" s="90" t="s">
        <v>22</v>
      </c>
      <c r="D268" s="90" t="s">
        <v>22</v>
      </c>
      <c r="E268" s="173" t="str">
        <f>IF(var_OPN&lt;&gt;"",IF(varHasHPS="Yes",IF($C$26="Yes",IF($B$215="Yes",IFERROR(VLOOKUP(tblCHKHPSNAND[[#This Row],[Pin Name]],tblHPS_NAND,2,FALSE),MSG!$B$10),MSG!$J$50),MSG!$J$12),MSG!$J$11),MSG!$J$10)</f>
        <v>NAND Data Bit 6.</v>
      </c>
    </row>
    <row r="269" spans="1:5" ht="27.5" outlineLevel="2" collapsed="1" thickBot="1">
      <c r="A269" s="81" t="s">
        <v>1230</v>
      </c>
      <c r="B269" s="173" t="str">
        <f>IF(var_OPN&lt;&gt;"",IF(varHasHPS="Yes",IF($C$26="Yes",IF($B$215="Yes",IFERROR(VLOOKUP(tblCHKHPSNAND[[#This Row],[Pin Name]],tblHPS_NAND,4,FALSE),MSG!$B$10),MSG!$J$50),MSG!$J$12),MSG!$J$11),MSG!$J$10)</f>
        <v>Group 1: HPS_IOA_12
Group 2: HPS_IOB_12</v>
      </c>
      <c r="C269" s="90" t="s">
        <v>22</v>
      </c>
      <c r="D269" s="90" t="s">
        <v>22</v>
      </c>
      <c r="E269" s="173" t="str">
        <f>IF(var_OPN&lt;&gt;"",IF(varHasHPS="Yes",IF($C$26="Yes",IF($B$215="Yes",IFERROR(VLOOKUP(tblCHKHPSNAND[[#This Row],[Pin Name]],tblHPS_NAND,2,FALSE),MSG!$B$10),MSG!$J$50),MSG!$J$12),MSG!$J$11),MSG!$J$10)</f>
        <v>NAND Data Bit 7.</v>
      </c>
    </row>
    <row r="270" spans="1:5" ht="27.5" outlineLevel="2" thickBot="1">
      <c r="A270" s="81" t="s">
        <v>1231</v>
      </c>
      <c r="B270" s="173" t="str">
        <f>IF(var_OPN&lt;&gt;"",IF(varHasHPS="Yes",IF($C$26="Yes",IF($B$215="Yes",IFERROR(VLOOKUP(tblCHKHPSNAND[[#This Row],[Pin Name]],tblHPS_NAND,4,FALSE),MSG!$B$10),MSG!$J$50),MSG!$J$12),MSG!$J$11),MSG!$J$10)</f>
        <v>Group 1: HPS_IOA_13
Group 2: HPS_IOB_13</v>
      </c>
      <c r="C270" s="90" t="s">
        <v>22</v>
      </c>
      <c r="D270" s="90" t="s">
        <v>22</v>
      </c>
      <c r="E270" s="173" t="str">
        <f>IF(var_OPN&lt;&gt;"",IF(varHasHPS="Yes",IF($C$26="Yes",IF($B$215="Yes",IFERROR(VLOOKUP(tblCHKHPSNAND[[#This Row],[Pin Name]],tblHPS_NAND,2,FALSE),MSG!$B$10),MSG!$J$50),MSG!$J$12),MSG!$J$11),MSG!$J$10)</f>
        <v>NAND Address Latch Enable.
This is an active-high signal.</v>
      </c>
    </row>
    <row r="271" spans="1:5" ht="54.5" outlineLevel="2" thickBot="1">
      <c r="A271" s="81" t="s">
        <v>575</v>
      </c>
      <c r="B271" s="173" t="str">
        <f>IF(var_OPN&lt;&gt;"",IF(varHasHPS="Yes",IF($C$26="Yes",IF($B$215="Yes",IFERROR(VLOOKUP(tblCHKHPSNAND[[#This Row],[Pin Name]],tblHPS_NAND,4,FALSE),MSG!$B$10),MSG!$J$50),MSG!$J$12),MSG!$J$11),MSG!$J$10)</f>
        <v>Group 1: HPS_IOA_14
Group 2: HPS_IOB_14</v>
      </c>
      <c r="C271" s="90" t="s">
        <v>22</v>
      </c>
      <c r="D271" s="90" t="s">
        <v>22</v>
      </c>
      <c r="E271" s="173" t="str">
        <f>IF(var_OPN&lt;&gt;"",IF(varHasHPS="Yes",IF($C$26="Yes",IF($B$215="Yes",IFERROR(VLOOKUP(tblCHKHPSNAND[[#This Row],[Pin Name]],tblHPS_NAND,2,FALSE),MSG!$B$10),MSG!$J$50),MSG!$J$12),MSG!$J$11),MSG!$J$10)</f>
        <v>NAND Ready/Busy.
Connect this pin through a pull-up resistor to VCCIO_HPS. For more information of the pull-up resistor value, refer to the NAND flash specification.</v>
      </c>
    </row>
    <row r="272" spans="1:5" ht="27.5" outlineLevel="2" thickBot="1">
      <c r="A272" s="81" t="s">
        <v>1232</v>
      </c>
      <c r="B272" s="173" t="str">
        <f>IF(var_OPN&lt;&gt;"",IF(varHasHPS="Yes",IF($C$26="Yes",IF($B$215="Yes",IFERROR(VLOOKUP(tblCHKHPSNAND[[#This Row],[Pin Name]],tblHPS_NAND,4,FALSE),MSG!$B$10),MSG!$J$50),MSG!$J$12),MSG!$J$11),MSG!$J$10)</f>
        <v>Group 1: HPS_IOA_15
Group 2: HPS_IOB_15</v>
      </c>
      <c r="C272" s="90" t="s">
        <v>22</v>
      </c>
      <c r="D272" s="90" t="s">
        <v>22</v>
      </c>
      <c r="E272" s="173" t="str">
        <f>IF(var_OPN&lt;&gt;"",IF(varHasHPS="Yes",IF($C$26="Yes",IF($B$215="Yes",IFERROR(VLOOKUP(tblCHKHPSNAND[[#This Row],[Pin Name]],tblHPS_NAND,2,FALSE),MSG!$B$10),MSG!$J$50),MSG!$J$12),MSG!$J$11),MSG!$J$10)</f>
        <v>NAND Chip Enable.
This is an active-low signal.</v>
      </c>
    </row>
    <row r="273" spans="1:5" ht="27.5" outlineLevel="2" thickBot="1">
      <c r="A273" s="81" t="s">
        <v>737</v>
      </c>
      <c r="B273" s="173" t="str">
        <f>IF(var_OPN&lt;&gt;"",IF(varHasHPS="Yes",IF($C$26="Yes",IF($B$215="Yes",IFERROR(VLOOKUP(tblCHKHPSNAND[[#This Row],[Pin Name]],tblHPS_NAND,4,FALSE),MSG!$B$10),MSG!$J$50),MSG!$J$12),MSG!$J$11),MSG!$J$10)</f>
        <v>Group 1: HPS_IOA_16
Group 2: HPS_IOB_16</v>
      </c>
      <c r="C273" s="90" t="s">
        <v>22</v>
      </c>
      <c r="D273" s="90" t="s">
        <v>22</v>
      </c>
      <c r="E273" s="173" t="str">
        <f>IF(var_OPN&lt;&gt;"",IF(varHasHPS="Yes",IF($C$26="Yes",IF($B$215="Yes",IFERROR(VLOOKUP(tblCHKHPSNAND[[#This Row],[Pin Name]],tblHPS_NAND,2,FALSE),MSG!$B$10),MSG!$J$50),MSG!$J$12),MSG!$J$11),MSG!$J$10)</f>
        <v>NAND signal to indicate data valid window.</v>
      </c>
    </row>
    <row r="274" spans="1:5" ht="27.5" outlineLevel="2" thickBot="1">
      <c r="A274" s="81" t="s">
        <v>1233</v>
      </c>
      <c r="B274" s="173" t="str">
        <f>IF(var_OPN&lt;&gt;"",IF(varHasHPS="Yes",IF($C$26="Yes",IF($B$215="Yes",IFERROR(VLOOKUP(tblCHKHPSNAND[[#This Row],[Pin Name]],tblHPS_NAND,4,FALSE),MSG!$B$10),MSG!$J$50),MSG!$J$12),MSG!$J$11),MSG!$J$10)</f>
        <v>Group 1: HPS_IOA_17
Group 2: HPS_IOB_17</v>
      </c>
      <c r="C274" s="90" t="s">
        <v>22</v>
      </c>
      <c r="D274" s="90" t="s">
        <v>22</v>
      </c>
      <c r="E274" s="173" t="str">
        <f>IF(var_OPN&lt;&gt;"",IF(varHasHPS="Yes",IF($C$26="Yes",IF($B$215="Yes",IFERROR(VLOOKUP(tblCHKHPSNAND[[#This Row],[Pin Name]],tblHPS_NAND,2,FALSE),MSG!$B$10),MSG!$J$50),MSG!$J$12),MSG!$J$11),MSG!$J$10)</f>
        <v>NAND Data Bit 8.</v>
      </c>
    </row>
    <row r="275" spans="1:5" ht="27.5" outlineLevel="2" thickBot="1">
      <c r="A275" s="81" t="s">
        <v>1234</v>
      </c>
      <c r="B275" s="173" t="str">
        <f>IF(var_OPN&lt;&gt;"",IF(varHasHPS="Yes",IF($C$26="Yes",IF($B$215="Yes",IFERROR(VLOOKUP(tblCHKHPSNAND[[#This Row],[Pin Name]],tblHPS_NAND,4,FALSE),MSG!$B$10),MSG!$J$50),MSG!$J$12),MSG!$J$11),MSG!$J$10)</f>
        <v>Group 1: HPS_IOA_18
Group 2: HPS_IOB_18</v>
      </c>
      <c r="C275" s="90" t="s">
        <v>22</v>
      </c>
      <c r="D275" s="90" t="s">
        <v>22</v>
      </c>
      <c r="E275" s="173" t="str">
        <f>IF(var_OPN&lt;&gt;"",IF(varHasHPS="Yes",IF($C$26="Yes",IF($B$215="Yes",IFERROR(VLOOKUP(tblCHKHPSNAND[[#This Row],[Pin Name]],tblHPS_NAND,2,FALSE),MSG!$B$10),MSG!$J$50),MSG!$J$12),MSG!$J$11),MSG!$J$10)</f>
        <v>NAND Data Bit 9.</v>
      </c>
    </row>
    <row r="276" spans="1:5" ht="27.5" outlineLevel="2" thickBot="1">
      <c r="A276" s="81" t="s">
        <v>1235</v>
      </c>
      <c r="B276" s="173" t="str">
        <f>IF(var_OPN&lt;&gt;"",IF(varHasHPS="Yes",IF($C$26="Yes",IF($B$215="Yes",IFERROR(VLOOKUP(tblCHKHPSNAND[[#This Row],[Pin Name]],tblHPS_NAND,4,FALSE),MSG!$B$10),MSG!$J$50),MSG!$J$12),MSG!$J$11),MSG!$J$10)</f>
        <v>Group 1: HPS_IOA_19
Group 2: HPS_IOB_19</v>
      </c>
      <c r="C276" s="90" t="s">
        <v>22</v>
      </c>
      <c r="D276" s="90" t="s">
        <v>22</v>
      </c>
      <c r="E276" s="173" t="str">
        <f>IF(var_OPN&lt;&gt;"",IF(varHasHPS="Yes",IF($C$26="Yes",IF($B$215="Yes",IFERROR(VLOOKUP(tblCHKHPSNAND[[#This Row],[Pin Name]],tblHPS_NAND,2,FALSE),MSG!$B$10),MSG!$J$50),MSG!$J$12),MSG!$J$11),MSG!$J$10)</f>
        <v>NAND Data Bit 10.</v>
      </c>
    </row>
    <row r="277" spans="1:5" ht="27.5" outlineLevel="2" thickBot="1">
      <c r="A277" s="81" t="s">
        <v>1236</v>
      </c>
      <c r="B277" s="173" t="str">
        <f>IF(var_OPN&lt;&gt;"",IF(varHasHPS="Yes",IF($C$26="Yes",IF($B$215="Yes",IFERROR(VLOOKUP(tblCHKHPSNAND[[#This Row],[Pin Name]],tblHPS_NAND,4,FALSE),MSG!$B$10),MSG!$J$50),MSG!$J$12),MSG!$J$11),MSG!$J$10)</f>
        <v>Group 1: HPS_IOA_20
Group 2: HPS_IOB_20</v>
      </c>
      <c r="C277" s="90" t="s">
        <v>22</v>
      </c>
      <c r="D277" s="90" t="s">
        <v>22</v>
      </c>
      <c r="E277" s="173" t="str">
        <f>IF(var_OPN&lt;&gt;"",IF(varHasHPS="Yes",IF($C$26="Yes",IF($B$215="Yes",IFERROR(VLOOKUP(tblCHKHPSNAND[[#This Row],[Pin Name]],tblHPS_NAND,2,FALSE),MSG!$B$10),MSG!$J$50),MSG!$J$12),MSG!$J$11),MSG!$J$10)</f>
        <v>NAND Data Bit 11.</v>
      </c>
    </row>
    <row r="278" spans="1:5" ht="27.5" outlineLevel="2" thickBot="1">
      <c r="A278" s="81" t="s">
        <v>1237</v>
      </c>
      <c r="B278" s="173" t="str">
        <f>IF(var_OPN&lt;&gt;"",IF(varHasHPS="Yes",IF($C$26="Yes",IF($B$215="Yes",IFERROR(VLOOKUP(tblCHKHPSNAND[[#This Row],[Pin Name]],tblHPS_NAND,4,FALSE),MSG!$B$10),MSG!$J$50),MSG!$J$12),MSG!$J$11),MSG!$J$10)</f>
        <v>Group 1: HPS_IOA_21
Group 2: HPS_IOB_21</v>
      </c>
      <c r="C278" s="90" t="s">
        <v>22</v>
      </c>
      <c r="D278" s="90" t="s">
        <v>22</v>
      </c>
      <c r="E278" s="173" t="str">
        <f>IF(var_OPN&lt;&gt;"",IF(varHasHPS="Yes",IF($C$26="Yes",IF($B$215="Yes",IFERROR(VLOOKUP(tblCHKHPSNAND[[#This Row],[Pin Name]],tblHPS_NAND,2,FALSE),MSG!$B$10),MSG!$J$50),MSG!$J$12),MSG!$J$11),MSG!$J$10)</f>
        <v>NAND Data Bit 12.</v>
      </c>
    </row>
    <row r="279" spans="1:5" ht="27.5" outlineLevel="2" thickBot="1">
      <c r="A279" s="81" t="s">
        <v>1238</v>
      </c>
      <c r="B279" s="173" t="str">
        <f>IF(var_OPN&lt;&gt;"",IF(varHasHPS="Yes",IF($C$26="Yes",IF($B$215="Yes",IFERROR(VLOOKUP(tblCHKHPSNAND[[#This Row],[Pin Name]],tblHPS_NAND,4,FALSE),MSG!$B$10),MSG!$J$50),MSG!$J$12),MSG!$J$11),MSG!$J$10)</f>
        <v>Group 1: HPS_IOA_22
Group 2: HPS_IOB_22</v>
      </c>
      <c r="C279" s="90" t="s">
        <v>22</v>
      </c>
      <c r="D279" s="90" t="s">
        <v>22</v>
      </c>
      <c r="E279" s="173" t="str">
        <f>IF(var_OPN&lt;&gt;"",IF(varHasHPS="Yes",IF($C$26="Yes",IF($B$215="Yes",IFERROR(VLOOKUP(tblCHKHPSNAND[[#This Row],[Pin Name]],tblHPS_NAND,2,FALSE),MSG!$B$10),MSG!$J$50),MSG!$J$12),MSG!$J$11),MSG!$J$10)</f>
        <v>NAND Data Bit 13.</v>
      </c>
    </row>
    <row r="280" spans="1:5" ht="27.5" outlineLevel="2" thickBot="1">
      <c r="A280" s="81" t="s">
        <v>1239</v>
      </c>
      <c r="B280" s="173" t="str">
        <f>IF(var_OPN&lt;&gt;"",IF(varHasHPS="Yes",IF($C$26="Yes",IF($B$215="Yes",IFERROR(VLOOKUP(tblCHKHPSNAND[[#This Row],[Pin Name]],tblHPS_NAND,4,FALSE),MSG!$B$10),MSG!$J$50),MSG!$J$12),MSG!$J$11),MSG!$J$10)</f>
        <v>Group 1: HPS_IOA_23
Group 2: HPS_IOB_23</v>
      </c>
      <c r="C280" s="90" t="s">
        <v>22</v>
      </c>
      <c r="D280" s="90" t="s">
        <v>22</v>
      </c>
      <c r="E280" s="173" t="str">
        <f>IF(var_OPN&lt;&gt;"",IF(varHasHPS="Yes",IF($C$26="Yes",IF($B$215="Yes",IFERROR(VLOOKUP(tblCHKHPSNAND[[#This Row],[Pin Name]],tblHPS_NAND,2,FALSE),MSG!$B$10),MSG!$J$50),MSG!$J$12),MSG!$J$11),MSG!$J$10)</f>
        <v>NAND Data Bit 14.</v>
      </c>
    </row>
    <row r="281" spans="1:5" ht="27.5" outlineLevel="2" collapsed="1" thickBot="1">
      <c r="A281" s="81" t="s">
        <v>1240</v>
      </c>
      <c r="B281" s="173" t="str">
        <f>IF(var_OPN&lt;&gt;"",IF(varHasHPS="Yes",IF($C$26="Yes",IF($B$215="Yes",IFERROR(VLOOKUP(tblCHKHPSNAND[[#This Row],[Pin Name]],tblHPS_NAND,4,FALSE),MSG!$B$10),MSG!$J$50),MSG!$J$12),MSG!$J$11),MSG!$J$10)</f>
        <v>Group 1: HPS_IOA_24
Group 2: HPS_IOB_24</v>
      </c>
      <c r="C281" s="90" t="s">
        <v>22</v>
      </c>
      <c r="D281" s="90" t="s">
        <v>22</v>
      </c>
      <c r="E281" s="173" t="str">
        <f>IF(var_OPN&lt;&gt;"",IF(varHasHPS="Yes",IF($C$26="Yes",IF($B$215="Yes",IFERROR(VLOOKUP(tblCHKHPSNAND[[#This Row],[Pin Name]],tblHPS_NAND,2,FALSE),MSG!$B$10),MSG!$J$50),MSG!$J$12),MSG!$J$11),MSG!$J$10)</f>
        <v>NAND Data Bit 15.</v>
      </c>
    </row>
    <row r="282" spans="1:5" ht="14" outlineLevel="1" thickBot="1"/>
    <row r="283" spans="1:5" ht="14" outlineLevel="1" thickBot="1">
      <c r="A283" s="83" t="s">
        <v>184</v>
      </c>
      <c r="B283" s="122"/>
      <c r="C283" s="123"/>
      <c r="D283" s="123"/>
      <c r="E283" s="122"/>
    </row>
    <row r="284" spans="1:5" ht="14" outlineLevel="2" thickBot="1">
      <c r="A284" s="83" t="s">
        <v>30</v>
      </c>
      <c r="B284" s="83" t="s">
        <v>31</v>
      </c>
      <c r="C284" s="83" t="s">
        <v>32</v>
      </c>
      <c r="D284" s="83" t="s">
        <v>33</v>
      </c>
      <c r="E284" s="83" t="s">
        <v>34</v>
      </c>
    </row>
    <row r="285" spans="1:5" ht="54.5" outlineLevel="2" thickBot="1">
      <c r="A285" t="s">
        <v>1242</v>
      </c>
      <c r="B285" s="173" t="str">
        <f>IF(var_OPN&lt;&gt;"",IF(varHasHPS="Yes",IF($C$26="Yes",IF($B$216="Yes",IFERROR(VLOOKUP(tblCHKHPSUSB[[#This Row],[Pin Name]],tblHPS_USB,4,FALSE),MSG!$B$10),MSG!$J$60),MSG!$J$12),MSG!$J$11),MSG!$J$10)</f>
        <v>HPS_IOA_1</v>
      </c>
      <c r="C285" s="90" t="s">
        <v>22</v>
      </c>
      <c r="D285" s="90" t="s">
        <v>22</v>
      </c>
      <c r="E285" s="173" t="str">
        <f>IF(var_OPN&lt;&gt;"",IF(varHasHPS="Yes",IF($C$26="Yes",IF($B$216="Yes",IFERROR(VLOOKUP(tblCHKHPSUSB[[#This Row],[Pin Name]],tblHPS_USB,2,FALSE),MSG!$B$10),MSG!$J$60),MSG!$J$12),MSG!$J$11),MSG!$J$10)</f>
        <v>USB0 Clock.
There are two USB controllers (USB0 and USB1) for the Agilex 3 HPS. USB0 supports USB 2.0 and USB1 supports USB 3.1. USB 3.1 pins are for ULPI compatibility only.</v>
      </c>
    </row>
    <row r="286" spans="1:5" ht="15" outlineLevel="2" thickBot="1">
      <c r="A286" t="s">
        <v>1243</v>
      </c>
      <c r="B286" s="173" t="str">
        <f>IF(var_OPN&lt;&gt;"",IF(varHasHPS="Yes",IF($C$26="Yes",IF($B$216="Yes",IFERROR(VLOOKUP(tblCHKHPSUSB[[#This Row],[Pin Name]],tblHPS_USB,4,FALSE),MSG!$B$10),MSG!$J$60),MSG!$J$12),MSG!$J$11),MSG!$J$10)</f>
        <v>HPS_IOA_2</v>
      </c>
      <c r="C286" s="90" t="s">
        <v>22</v>
      </c>
      <c r="D286" s="90" t="s">
        <v>22</v>
      </c>
      <c r="E286" s="173" t="str">
        <f>IF(var_OPN&lt;&gt;"",IF(varHasHPS="Yes",IF($C$26="Yes",IF($B$216="Yes",IFERROR(VLOOKUP(tblCHKHPSUSB[[#This Row],[Pin Name]],tblHPS_USB,2,FALSE),MSG!$B$10),MSG!$J$60),MSG!$J$12),MSG!$J$11),MSG!$J$10)</f>
        <v>USB0 Stop Data.</v>
      </c>
    </row>
    <row r="287" spans="1:5" ht="15" outlineLevel="2" thickBot="1">
      <c r="A287" t="s">
        <v>1244</v>
      </c>
      <c r="B287" s="173" t="str">
        <f>IF(var_OPN&lt;&gt;"",IF(varHasHPS="Yes",IF($C$26="Yes",IF($B$216="Yes",IFERROR(VLOOKUP(tblCHKHPSUSB[[#This Row],[Pin Name]],tblHPS_USB,4,FALSE),MSG!$B$10),MSG!$J$60),MSG!$J$12),MSG!$J$11),MSG!$J$10)</f>
        <v>HPS_IOA_3</v>
      </c>
      <c r="C287" s="90" t="s">
        <v>22</v>
      </c>
      <c r="D287" s="90" t="s">
        <v>22</v>
      </c>
      <c r="E287" s="173" t="str">
        <f>IF(var_OPN&lt;&gt;"",IF(varHasHPS="Yes",IF($C$26="Yes",IF($B$216="Yes",IFERROR(VLOOKUP(tblCHKHPSUSB[[#This Row],[Pin Name]],tblHPS_USB,2,FALSE),MSG!$B$10),MSG!$J$60),MSG!$J$12),MSG!$J$11),MSG!$J$10)</f>
        <v>USB0 Direction.</v>
      </c>
    </row>
    <row r="288" spans="1:5" ht="15" outlineLevel="2" thickBot="1">
      <c r="A288" t="s">
        <v>1245</v>
      </c>
      <c r="B288" s="173" t="str">
        <f>IF(var_OPN&lt;&gt;"",IF(varHasHPS="Yes",IF($C$26="Yes",IF($B$216="Yes",IFERROR(VLOOKUP(tblCHKHPSUSB[[#This Row],[Pin Name]],tblHPS_USB,4,FALSE),MSG!$B$10),MSG!$J$60),MSG!$J$12),MSG!$J$11),MSG!$J$10)</f>
        <v>HPS_IOA_4</v>
      </c>
      <c r="C288" s="90" t="s">
        <v>22</v>
      </c>
      <c r="D288" s="90" t="s">
        <v>22</v>
      </c>
      <c r="E288" s="173" t="str">
        <f>IF(var_OPN&lt;&gt;"",IF(varHasHPS="Yes",IF($C$26="Yes",IF($B$216="Yes",IFERROR(VLOOKUP(tblCHKHPSUSB[[#This Row],[Pin Name]],tblHPS_USB,2,FALSE),MSG!$B$10),MSG!$J$60),MSG!$J$12),MSG!$J$11),MSG!$J$10)</f>
        <v>USB0 Data Bit 0.</v>
      </c>
    </row>
    <row r="289" spans="1:5" ht="15" outlineLevel="2" thickBot="1">
      <c r="A289" t="s">
        <v>1246</v>
      </c>
      <c r="B289" s="173" t="str">
        <f>IF(var_OPN&lt;&gt;"",IF(varHasHPS="Yes",IF($C$26="Yes",IF($B$216="Yes",IFERROR(VLOOKUP(tblCHKHPSUSB[[#This Row],[Pin Name]],tblHPS_USB,4,FALSE),MSG!$B$10),MSG!$J$60),MSG!$J$12),MSG!$J$11),MSG!$J$10)</f>
        <v>HPS_IOA_5</v>
      </c>
      <c r="C289" s="90" t="s">
        <v>22</v>
      </c>
      <c r="D289" s="90" t="s">
        <v>22</v>
      </c>
      <c r="E289" s="173" t="str">
        <f>IF(var_OPN&lt;&gt;"",IF(varHasHPS="Yes",IF($C$26="Yes",IF($B$216="Yes",IFERROR(VLOOKUP(tblCHKHPSUSB[[#This Row],[Pin Name]],tblHPS_USB,2,FALSE),MSG!$B$10),MSG!$J$60),MSG!$J$12),MSG!$J$11),MSG!$J$10)</f>
        <v>USB0 Data Bit 1.</v>
      </c>
    </row>
    <row r="290" spans="1:5" ht="15" outlineLevel="2" thickBot="1">
      <c r="A290" t="s">
        <v>1247</v>
      </c>
      <c r="B290" s="173" t="str">
        <f>IF(var_OPN&lt;&gt;"",IF(varHasHPS="Yes",IF($C$26="Yes",IF($B$216="Yes",IFERROR(VLOOKUP(tblCHKHPSUSB[[#This Row],[Pin Name]],tblHPS_USB,4,FALSE),MSG!$B$10),MSG!$J$60),MSG!$J$12),MSG!$J$11),MSG!$J$10)</f>
        <v>HPS_IOA_6</v>
      </c>
      <c r="C290" s="90" t="s">
        <v>22</v>
      </c>
      <c r="D290" s="90" t="s">
        <v>22</v>
      </c>
      <c r="E290" s="173" t="str">
        <f>IF(var_OPN&lt;&gt;"",IF(varHasHPS="Yes",IF($C$26="Yes",IF($B$216="Yes",IFERROR(VLOOKUP(tblCHKHPSUSB[[#This Row],[Pin Name]],tblHPS_USB,2,FALSE),MSG!$B$10),MSG!$J$60),MSG!$J$12),MSG!$J$11),MSG!$J$10)</f>
        <v>USB0 Next Data.</v>
      </c>
    </row>
    <row r="291" spans="1:5" ht="15" outlineLevel="2" thickBot="1">
      <c r="A291" t="s">
        <v>1248</v>
      </c>
      <c r="B291" s="173" t="str">
        <f>IF(var_OPN&lt;&gt;"",IF(varHasHPS="Yes",IF($C$26="Yes",IF($B$216="Yes",IFERROR(VLOOKUP(tblCHKHPSUSB[[#This Row],[Pin Name]],tblHPS_USB,4,FALSE),MSG!$B$10),MSG!$J$60),MSG!$J$12),MSG!$J$11),MSG!$J$10)</f>
        <v>HPS_IOA_7</v>
      </c>
      <c r="C291" s="90" t="s">
        <v>22</v>
      </c>
      <c r="D291" s="90" t="s">
        <v>22</v>
      </c>
      <c r="E291" s="173" t="str">
        <f>IF(var_OPN&lt;&gt;"",IF(varHasHPS="Yes",IF($C$26="Yes",IF($B$216="Yes",IFERROR(VLOOKUP(tblCHKHPSUSB[[#This Row],[Pin Name]],tblHPS_USB,2,FALSE),MSG!$B$10),MSG!$J$60),MSG!$J$12),MSG!$J$11),MSG!$J$10)</f>
        <v>USB0 Data Bit 2.</v>
      </c>
    </row>
    <row r="292" spans="1:5" ht="15" outlineLevel="2" thickBot="1">
      <c r="A292" t="s">
        <v>1249</v>
      </c>
      <c r="B292" s="173" t="str">
        <f>IF(var_OPN&lt;&gt;"",IF(varHasHPS="Yes",IF($C$26="Yes",IF($B$216="Yes",IFERROR(VLOOKUP(tblCHKHPSUSB[[#This Row],[Pin Name]],tblHPS_USB,4,FALSE),MSG!$B$10),MSG!$J$60),MSG!$J$12),MSG!$J$11),MSG!$J$10)</f>
        <v>HPS_IOA_8</v>
      </c>
      <c r="C292" s="90" t="s">
        <v>22</v>
      </c>
      <c r="D292" s="90" t="s">
        <v>22</v>
      </c>
      <c r="E292" s="173" t="str">
        <f>IF(var_OPN&lt;&gt;"",IF(varHasHPS="Yes",IF($C$26="Yes",IF($B$216="Yes",IFERROR(VLOOKUP(tblCHKHPSUSB[[#This Row],[Pin Name]],tblHPS_USB,2,FALSE),MSG!$B$10),MSG!$J$60),MSG!$J$12),MSG!$J$11),MSG!$J$10)</f>
        <v>USB0 Data Bit 3</v>
      </c>
    </row>
    <row r="293" spans="1:5" ht="15" outlineLevel="2" thickBot="1">
      <c r="A293" t="s">
        <v>1250</v>
      </c>
      <c r="B293" s="173" t="str">
        <f>IF(var_OPN&lt;&gt;"",IF(varHasHPS="Yes",IF($C$26="Yes",IF($B$216="Yes",IFERROR(VLOOKUP(tblCHKHPSUSB[[#This Row],[Pin Name]],tblHPS_USB,4,FALSE),MSG!$B$10),MSG!$J$60),MSG!$J$12),MSG!$J$11),MSG!$J$10)</f>
        <v>HPS_IOA_9</v>
      </c>
      <c r="C293" s="90" t="s">
        <v>22</v>
      </c>
      <c r="D293" s="90" t="s">
        <v>22</v>
      </c>
      <c r="E293" s="173" t="str">
        <f>IF(var_OPN&lt;&gt;"",IF(varHasHPS="Yes",IF($C$26="Yes",IF($B$216="Yes",IFERROR(VLOOKUP(tblCHKHPSUSB[[#This Row],[Pin Name]],tblHPS_USB,2,FALSE),MSG!$B$10),MSG!$J$60),MSG!$J$12),MSG!$J$11),MSG!$J$10)</f>
        <v>USB0 Data Bit 4.</v>
      </c>
    </row>
    <row r="294" spans="1:5" ht="15" outlineLevel="2" thickBot="1">
      <c r="A294" t="s">
        <v>1251</v>
      </c>
      <c r="B294" s="173" t="str">
        <f>IF(var_OPN&lt;&gt;"",IF(varHasHPS="Yes",IF($C$26="Yes",IF($B$216="Yes",IFERROR(VLOOKUP(tblCHKHPSUSB[[#This Row],[Pin Name]],tblHPS_USB,4,FALSE),MSG!$B$10),MSG!$J$60),MSG!$J$12),MSG!$J$11),MSG!$J$10)</f>
        <v>HPS_IOA_10</v>
      </c>
      <c r="C294" s="90" t="s">
        <v>22</v>
      </c>
      <c r="D294" s="90" t="s">
        <v>22</v>
      </c>
      <c r="E294" s="173" t="str">
        <f>IF(var_OPN&lt;&gt;"",IF(varHasHPS="Yes",IF($C$26="Yes",IF($B$216="Yes",IFERROR(VLOOKUP(tblCHKHPSUSB[[#This Row],[Pin Name]],tblHPS_USB,2,FALSE),MSG!$B$10),MSG!$J$60),MSG!$J$12),MSG!$J$11),MSG!$J$10)</f>
        <v>USB0 Data Bit 5.</v>
      </c>
    </row>
    <row r="295" spans="1:5" ht="15" outlineLevel="2" thickBot="1">
      <c r="A295" t="s">
        <v>1252</v>
      </c>
      <c r="B295" s="173" t="str">
        <f>IF(var_OPN&lt;&gt;"",IF(varHasHPS="Yes",IF($C$26="Yes",IF($B$216="Yes",IFERROR(VLOOKUP(tblCHKHPSUSB[[#This Row],[Pin Name]],tblHPS_USB,4,FALSE),MSG!$B$10),MSG!$J$60),MSG!$J$12),MSG!$J$11),MSG!$J$10)</f>
        <v>HPS_IOA_11</v>
      </c>
      <c r="C295" s="90" t="s">
        <v>22</v>
      </c>
      <c r="D295" s="90" t="s">
        <v>22</v>
      </c>
      <c r="E295" s="173" t="str">
        <f>IF(var_OPN&lt;&gt;"",IF(varHasHPS="Yes",IF($C$26="Yes",IF($B$216="Yes",IFERROR(VLOOKUP(tblCHKHPSUSB[[#This Row],[Pin Name]],tblHPS_USB,2,FALSE),MSG!$B$10),MSG!$J$60),MSG!$J$12),MSG!$J$11),MSG!$J$10)</f>
        <v>USB0 Data Bit 6.</v>
      </c>
    </row>
    <row r="296" spans="1:5" ht="15" outlineLevel="2" thickBot="1">
      <c r="A296" t="s">
        <v>1253</v>
      </c>
      <c r="B296" s="173" t="str">
        <f>IF(var_OPN&lt;&gt;"",IF(varHasHPS="Yes",IF($C$26="Yes",IF($B$216="Yes",IFERROR(VLOOKUP(tblCHKHPSUSB[[#This Row],[Pin Name]],tblHPS_USB,4,FALSE),MSG!$B$10),MSG!$J$60),MSG!$J$12),MSG!$J$11),MSG!$J$10)</f>
        <v>HPS_IOA_12</v>
      </c>
      <c r="C296" s="90" t="s">
        <v>22</v>
      </c>
      <c r="D296" s="90" t="s">
        <v>22</v>
      </c>
      <c r="E296" s="173" t="str">
        <f>IF(var_OPN&lt;&gt;"",IF(varHasHPS="Yes",IF($C$26="Yes",IF($B$216="Yes",IFERROR(VLOOKUP(tblCHKHPSUSB[[#This Row],[Pin Name]],tblHPS_USB,2,FALSE),MSG!$B$10),MSG!$J$60),MSG!$J$12),MSG!$J$11),MSG!$J$10)</f>
        <v>USB0 Data Bit 7.</v>
      </c>
    </row>
    <row r="297" spans="1:5" ht="54.5" outlineLevel="2" collapsed="1" thickBot="1">
      <c r="A297" t="s">
        <v>1254</v>
      </c>
      <c r="B297" s="173" t="str">
        <f>IF(var_OPN&lt;&gt;"",IF(varHasHPS="Yes",IF($C$26="Yes",IF($B$216="Yes",IFERROR(VLOOKUP(tblCHKHPSUSB[[#This Row],[Pin Name]],tblHPS_USB,4,FALSE),MSG!$B$10),MSG!$J$60),MSG!$J$12),MSG!$J$11),MSG!$J$10)</f>
        <v>HPS_IOA_13</v>
      </c>
      <c r="C297" s="90" t="s">
        <v>22</v>
      </c>
      <c r="D297" s="90" t="s">
        <v>22</v>
      </c>
      <c r="E297" s="173" t="str">
        <f>IF(var_OPN&lt;&gt;"",IF(varHasHPS="Yes",IF($C$26="Yes",IF($B$216="Yes",IFERROR(VLOOKUP(tblCHKHPSUSB[[#This Row],[Pin Name]],tblHPS_USB,2,FALSE),MSG!$B$10),MSG!$J$60),MSG!$J$12),MSG!$J$11),MSG!$J$10)</f>
        <v>USB1 Clock.
There are two USB controllers (USB0 and USB1) for the Agilex 3 HPS. USB0 supports USB 2.0 and USB1 supports USB 3.1. USB 3.1 pins are for ULPI compatibility only.</v>
      </c>
    </row>
    <row r="298" spans="1:5" ht="15" outlineLevel="2" thickBot="1">
      <c r="A298" t="s">
        <v>1255</v>
      </c>
      <c r="B298" s="173" t="str">
        <f>IF(var_OPN&lt;&gt;"",IF(varHasHPS="Yes",IF($C$26="Yes",IF($B$216="Yes",IFERROR(VLOOKUP(tblCHKHPSUSB[[#This Row],[Pin Name]],tblHPS_USB,4,FALSE),MSG!$B$10),MSG!$J$60),MSG!$J$12),MSG!$J$11),MSG!$J$10)</f>
        <v>HPS_IOA_14</v>
      </c>
      <c r="C298" s="90" t="s">
        <v>22</v>
      </c>
      <c r="D298" s="90" t="s">
        <v>22</v>
      </c>
      <c r="E298" s="173" t="str">
        <f>IF(var_OPN&lt;&gt;"",IF(varHasHPS="Yes",IF($C$26="Yes",IF($B$216="Yes",IFERROR(VLOOKUP(tblCHKHPSUSB[[#This Row],[Pin Name]],tblHPS_USB,2,FALSE),MSG!$B$10),MSG!$J$60),MSG!$J$12),MSG!$J$11),MSG!$J$10)</f>
        <v>USB1 Stop Data.</v>
      </c>
    </row>
    <row r="299" spans="1:5" ht="15" outlineLevel="2" thickBot="1">
      <c r="A299" t="s">
        <v>1256</v>
      </c>
      <c r="B299" s="173" t="str">
        <f>IF(var_OPN&lt;&gt;"",IF(varHasHPS="Yes",IF($C$26="Yes",IF($B$216="Yes",IFERROR(VLOOKUP(tblCHKHPSUSB[[#This Row],[Pin Name]],tblHPS_USB,4,FALSE),MSG!$B$10),MSG!$J$60),MSG!$J$12),MSG!$J$11),MSG!$J$10)</f>
        <v>HPS_IOA_15</v>
      </c>
      <c r="C299" s="90" t="s">
        <v>22</v>
      </c>
      <c r="D299" s="90" t="s">
        <v>22</v>
      </c>
      <c r="E299" s="173" t="str">
        <f>IF(var_OPN&lt;&gt;"",IF(varHasHPS="Yes",IF($C$26="Yes",IF($B$216="Yes",IFERROR(VLOOKUP(tblCHKHPSUSB[[#This Row],[Pin Name]],tblHPS_USB,2,FALSE),MSG!$B$10),MSG!$J$60),MSG!$J$12),MSG!$J$11),MSG!$J$10)</f>
        <v>USB1 Direction.</v>
      </c>
    </row>
    <row r="300" spans="1:5" ht="15" outlineLevel="2" thickBot="1">
      <c r="A300" t="s">
        <v>1257</v>
      </c>
      <c r="B300" s="173" t="str">
        <f>IF(var_OPN&lt;&gt;"",IF(varHasHPS="Yes",IF($C$26="Yes",IF($B$216="Yes",IFERROR(VLOOKUP(tblCHKHPSUSB[[#This Row],[Pin Name]],tblHPS_USB,4,FALSE),MSG!$B$10),MSG!$J$60),MSG!$J$12),MSG!$J$11),MSG!$J$10)</f>
        <v>HPS_IOA_16</v>
      </c>
      <c r="C300" s="90" t="s">
        <v>22</v>
      </c>
      <c r="D300" s="90" t="s">
        <v>22</v>
      </c>
      <c r="E300" s="173" t="str">
        <f>IF(var_OPN&lt;&gt;"",IF(varHasHPS="Yes",IF($C$26="Yes",IF($B$216="Yes",IFERROR(VLOOKUP(tblCHKHPSUSB[[#This Row],[Pin Name]],tblHPS_USB,2,FALSE),MSG!$B$10),MSG!$J$60),MSG!$J$12),MSG!$J$11),MSG!$J$10)</f>
        <v>USB1 Data Bit 0.</v>
      </c>
    </row>
    <row r="301" spans="1:5" ht="15" outlineLevel="2" thickBot="1">
      <c r="A301" t="s">
        <v>1258</v>
      </c>
      <c r="B301" s="173" t="str">
        <f>IF(var_OPN&lt;&gt;"",IF(varHasHPS="Yes",IF($C$26="Yes",IF($B$216="Yes",IFERROR(VLOOKUP(tblCHKHPSUSB[[#This Row],[Pin Name]],tblHPS_USB,4,FALSE),MSG!$B$10),MSG!$J$60),MSG!$J$12),MSG!$J$11),MSG!$J$10)</f>
        <v>HPS_IOA_17</v>
      </c>
      <c r="C301" s="90" t="s">
        <v>22</v>
      </c>
      <c r="D301" s="90" t="s">
        <v>22</v>
      </c>
      <c r="E301" s="173" t="str">
        <f>IF(var_OPN&lt;&gt;"",IF(varHasHPS="Yes",IF($C$26="Yes",IF($B$216="Yes",IFERROR(VLOOKUP(tblCHKHPSUSB[[#This Row],[Pin Name]],tblHPS_USB,2,FALSE),MSG!$B$10),MSG!$J$60),MSG!$J$12),MSG!$J$11),MSG!$J$10)</f>
        <v>USB1 Data Bit 1.</v>
      </c>
    </row>
    <row r="302" spans="1:5" ht="15" outlineLevel="2" thickBot="1">
      <c r="A302" t="s">
        <v>1259</v>
      </c>
      <c r="B302" s="173" t="str">
        <f>IF(var_OPN&lt;&gt;"",IF(varHasHPS="Yes",IF($C$26="Yes",IF($B$216="Yes",IFERROR(VLOOKUP(tblCHKHPSUSB[[#This Row],[Pin Name]],tblHPS_USB,4,FALSE),MSG!$B$10),MSG!$J$60),MSG!$J$12),MSG!$J$11),MSG!$J$10)</f>
        <v>HPS_IOA_18</v>
      </c>
      <c r="C302" s="90" t="s">
        <v>22</v>
      </c>
      <c r="D302" s="90" t="s">
        <v>22</v>
      </c>
      <c r="E302" s="173" t="str">
        <f>IF(var_OPN&lt;&gt;"",IF(varHasHPS="Yes",IF($C$26="Yes",IF($B$216="Yes",IFERROR(VLOOKUP(tblCHKHPSUSB[[#This Row],[Pin Name]],tblHPS_USB,2,FALSE),MSG!$B$10),MSG!$J$60),MSG!$J$12),MSG!$J$11),MSG!$J$10)</f>
        <v>USB1 Next Data.</v>
      </c>
    </row>
    <row r="303" spans="1:5" ht="15" outlineLevel="2" thickBot="1">
      <c r="A303" t="s">
        <v>1260</v>
      </c>
      <c r="B303" s="173" t="str">
        <f>IF(var_OPN&lt;&gt;"",IF(varHasHPS="Yes",IF($C$26="Yes",IF($B$216="Yes",IFERROR(VLOOKUP(tblCHKHPSUSB[[#This Row],[Pin Name]],tblHPS_USB,4,FALSE),MSG!$B$10),MSG!$J$60),MSG!$J$12),MSG!$J$11),MSG!$J$10)</f>
        <v>HPS_IOA_19</v>
      </c>
      <c r="C303" s="90" t="s">
        <v>22</v>
      </c>
      <c r="D303" s="90" t="s">
        <v>22</v>
      </c>
      <c r="E303" s="173" t="str">
        <f>IF(var_OPN&lt;&gt;"",IF(varHasHPS="Yes",IF($C$26="Yes",IF($B$216="Yes",IFERROR(VLOOKUP(tblCHKHPSUSB[[#This Row],[Pin Name]],tblHPS_USB,2,FALSE),MSG!$B$10),MSG!$J$60),MSG!$J$12),MSG!$J$11),MSG!$J$10)</f>
        <v>USB1 Data Bit 2.</v>
      </c>
    </row>
    <row r="304" spans="1:5" ht="15" outlineLevel="2" thickBot="1">
      <c r="A304" t="s">
        <v>1261</v>
      </c>
      <c r="B304" s="173" t="str">
        <f>IF(var_OPN&lt;&gt;"",IF(varHasHPS="Yes",IF($C$26="Yes",IF($B$216="Yes",IFERROR(VLOOKUP(tblCHKHPSUSB[[#This Row],[Pin Name]],tblHPS_USB,4,FALSE),MSG!$B$10),MSG!$J$60),MSG!$J$12),MSG!$J$11),MSG!$J$10)</f>
        <v>HPS_IOA_20</v>
      </c>
      <c r="C304" s="90" t="s">
        <v>22</v>
      </c>
      <c r="D304" s="90" t="s">
        <v>22</v>
      </c>
      <c r="E304" s="173" t="str">
        <f>IF(var_OPN&lt;&gt;"",IF(varHasHPS="Yes",IF($C$26="Yes",IF($B$216="Yes",IFERROR(VLOOKUP(tblCHKHPSUSB[[#This Row],[Pin Name]],tblHPS_USB,2,FALSE),MSG!$B$10),MSG!$J$60),MSG!$J$12),MSG!$J$11),MSG!$J$10)</f>
        <v>USB1 Data Bit 3.</v>
      </c>
    </row>
    <row r="305" spans="1:5" ht="15" outlineLevel="2" thickBot="1">
      <c r="A305" t="s">
        <v>1262</v>
      </c>
      <c r="B305" s="173" t="str">
        <f>IF(var_OPN&lt;&gt;"",IF(varHasHPS="Yes",IF($C$26="Yes",IF($B$216="Yes",IFERROR(VLOOKUP(tblCHKHPSUSB[[#This Row],[Pin Name]],tblHPS_USB,4,FALSE),MSG!$B$10),MSG!$J$60),MSG!$J$12),MSG!$J$11),MSG!$J$10)</f>
        <v>HPS_IOA_21</v>
      </c>
      <c r="C305" s="90" t="s">
        <v>22</v>
      </c>
      <c r="D305" s="90" t="s">
        <v>22</v>
      </c>
      <c r="E305" s="173" t="str">
        <f>IF(var_OPN&lt;&gt;"",IF(varHasHPS="Yes",IF($C$26="Yes",IF($B$216="Yes",IFERROR(VLOOKUP(tblCHKHPSUSB[[#This Row],[Pin Name]],tblHPS_USB,2,FALSE),MSG!$B$10),MSG!$J$60),MSG!$J$12),MSG!$J$11),MSG!$J$10)</f>
        <v>USB1 Data Bit 4.</v>
      </c>
    </row>
    <row r="306" spans="1:5" ht="15" outlineLevel="2" thickBot="1">
      <c r="A306" t="s">
        <v>1263</v>
      </c>
      <c r="B306" s="173" t="str">
        <f>IF(var_OPN&lt;&gt;"",IF(varHasHPS="Yes",IF($C$26="Yes",IF($B$216="Yes",IFERROR(VLOOKUP(tblCHKHPSUSB[[#This Row],[Pin Name]],tblHPS_USB,4,FALSE),MSG!$B$10),MSG!$J$60),MSG!$J$12),MSG!$J$11),MSG!$J$10)</f>
        <v>HPS_IOA_22</v>
      </c>
      <c r="C306" s="90" t="s">
        <v>22</v>
      </c>
      <c r="D306" s="90" t="s">
        <v>22</v>
      </c>
      <c r="E306" s="173" t="str">
        <f>IF(var_OPN&lt;&gt;"",IF(varHasHPS="Yes",IF($C$26="Yes",IF($B$216="Yes",IFERROR(VLOOKUP(tblCHKHPSUSB[[#This Row],[Pin Name]],tblHPS_USB,2,FALSE),MSG!$B$10),MSG!$J$60),MSG!$J$12),MSG!$J$11),MSG!$J$10)</f>
        <v>USB1 Data Bit 5.</v>
      </c>
    </row>
    <row r="307" spans="1:5" ht="15" outlineLevel="2" thickBot="1">
      <c r="A307" t="s">
        <v>1264</v>
      </c>
      <c r="B307" s="173" t="str">
        <f>IF(var_OPN&lt;&gt;"",IF(varHasHPS="Yes",IF($C$26="Yes",IF($B$216="Yes",IFERROR(VLOOKUP(tblCHKHPSUSB[[#This Row],[Pin Name]],tblHPS_USB,4,FALSE),MSG!$B$10),MSG!$J$60),MSG!$J$12),MSG!$J$11),MSG!$J$10)</f>
        <v>HPS_IOA_23</v>
      </c>
      <c r="C307" s="90" t="s">
        <v>22</v>
      </c>
      <c r="D307" s="90" t="s">
        <v>22</v>
      </c>
      <c r="E307" s="173" t="str">
        <f>IF(var_OPN&lt;&gt;"",IF(varHasHPS="Yes",IF($C$26="Yes",IF($B$216="Yes",IFERROR(VLOOKUP(tblCHKHPSUSB[[#This Row],[Pin Name]],tblHPS_USB,2,FALSE),MSG!$B$10),MSG!$J$60),MSG!$J$12),MSG!$J$11),MSG!$J$10)</f>
        <v>USB1 Data Bit 6.</v>
      </c>
    </row>
    <row r="308" spans="1:5" ht="15" outlineLevel="2" collapsed="1" thickBot="1">
      <c r="A308" t="s">
        <v>1265</v>
      </c>
      <c r="B308" s="173" t="str">
        <f>IF(var_OPN&lt;&gt;"",IF(varHasHPS="Yes",IF($C$26="Yes",IF($B$216="Yes",IFERROR(VLOOKUP(tblCHKHPSUSB[[#This Row],[Pin Name]],tblHPS_USB,4,FALSE),MSG!$B$10),MSG!$J$60),MSG!$J$12),MSG!$J$11),MSG!$J$10)</f>
        <v>HPS_IOA_24</v>
      </c>
      <c r="C308" s="90" t="s">
        <v>22</v>
      </c>
      <c r="D308" s="90" t="s">
        <v>22</v>
      </c>
      <c r="E308" s="173" t="str">
        <f>IF(var_OPN&lt;&gt;"",IF(varHasHPS="Yes",IF($C$26="Yes",IF($B$216="Yes",IFERROR(VLOOKUP(tblCHKHPSUSB[[#This Row],[Pin Name]],tblHPS_USB,2,FALSE),MSG!$B$10),MSG!$J$60),MSG!$J$12),MSG!$J$11),MSG!$J$10)</f>
        <v>USB1 Data Bit 7.</v>
      </c>
    </row>
    <row r="309" spans="1:5" ht="14" outlineLevel="1" thickBot="1"/>
    <row r="310" spans="1:5" ht="14" outlineLevel="1" thickBot="1">
      <c r="A310" s="83" t="s">
        <v>185</v>
      </c>
      <c r="B310" s="122"/>
      <c r="C310" s="123"/>
      <c r="D310" s="123"/>
      <c r="E310" s="122"/>
    </row>
    <row r="311" spans="1:5" ht="14" outlineLevel="2" thickBot="1">
      <c r="A311" s="83" t="s">
        <v>30</v>
      </c>
      <c r="B311" s="83" t="s">
        <v>31</v>
      </c>
      <c r="C311" s="83" t="s">
        <v>32</v>
      </c>
      <c r="D311" s="83" t="s">
        <v>33</v>
      </c>
      <c r="E311" s="83" t="s">
        <v>34</v>
      </c>
    </row>
    <row r="312" spans="1:5" ht="14" outlineLevel="2" thickBot="1">
      <c r="A312" s="81" t="s">
        <v>1288</v>
      </c>
      <c r="B312" s="173" t="str">
        <f>IF(var_OPN&lt;&gt;"",IF(varHasHPS="Yes",IF($C$26="Yes",IF($B$217="Yes",IFERROR(VLOOKUP(tblCHKHPSEMAC[[#This Row],[Pin Name]],tblHPS_EMAC,4,FALSE),MSG!$B$10),MSG!$J$70),MSG!$J$12),MSG!$J$11),MSG!$J$10)</f>
        <v>HPS_IOA_13</v>
      </c>
      <c r="C312" s="90" t="s">
        <v>22</v>
      </c>
      <c r="D312" s="90" t="s">
        <v>22</v>
      </c>
      <c r="E312" s="173" t="str">
        <f>IF(var_OPN&lt;&gt;"",IF(varHasHPS="Yes",IF($C$26="Yes",IF($B$217="Yes",IFERROR(VLOOKUP(tblCHKHPSEMAC[[#This Row],[Pin Name]],tblHPS_EMAC,2,FALSE),MSG!$B$10),MSG!$J$70),MSG!$J$12),MSG!$J$11),MSG!$J$10)</f>
        <v>EMAC0 Transmit Clock.</v>
      </c>
    </row>
    <row r="313" spans="1:5" ht="14" outlineLevel="2" thickBot="1">
      <c r="A313" s="81" t="s">
        <v>1289</v>
      </c>
      <c r="B313" s="173" t="str">
        <f>IF(var_OPN&lt;&gt;"",IF(varHasHPS="Yes",IF($C$26="Yes",IF($B$217="Yes",IFERROR(VLOOKUP(tblCHKHPSEMAC[[#This Row],[Pin Name]],tblHPS_EMAC,4,FALSE),MSG!$B$10),MSG!$J$70),MSG!$J$12),MSG!$J$11),MSG!$J$10)</f>
        <v>HPS_IOA_14</v>
      </c>
      <c r="C313" s="90" t="s">
        <v>22</v>
      </c>
      <c r="D313" s="90" t="s">
        <v>22</v>
      </c>
      <c r="E313" s="173" t="str">
        <f>IF(var_OPN&lt;&gt;"",IF(varHasHPS="Yes",IF($C$26="Yes",IF($B$217="Yes",IFERROR(VLOOKUP(tblCHKHPSEMAC[[#This Row],[Pin Name]],tblHPS_EMAC,2,FALSE),MSG!$B$10),MSG!$J$70),MSG!$J$12),MSG!$J$11),MSG!$J$10)</f>
        <v>EMAC0 Transmit Control.</v>
      </c>
    </row>
    <row r="314" spans="1:5" ht="14" outlineLevel="2" thickBot="1">
      <c r="A314" s="81" t="s">
        <v>1290</v>
      </c>
      <c r="B314" s="173" t="str">
        <f>IF(var_OPN&lt;&gt;"",IF(varHasHPS="Yes",IF($C$26="Yes",IF($B$217="Yes",IFERROR(VLOOKUP(tblCHKHPSEMAC[[#This Row],[Pin Name]],tblHPS_EMAC,4,FALSE),MSG!$B$10),MSG!$J$70),MSG!$J$12),MSG!$J$11),MSG!$J$10)</f>
        <v>HPS_IOA_15</v>
      </c>
      <c r="C314" s="90" t="s">
        <v>22</v>
      </c>
      <c r="D314" s="90" t="s">
        <v>22</v>
      </c>
      <c r="E314" s="173" t="str">
        <f>IF(var_OPN&lt;&gt;"",IF(varHasHPS="Yes",IF($C$26="Yes",IF($B$217="Yes",IFERROR(VLOOKUP(tblCHKHPSEMAC[[#This Row],[Pin Name]],tblHPS_EMAC,2,FALSE),MSG!$B$10),MSG!$J$70),MSG!$J$12),MSG!$J$11),MSG!$J$10)</f>
        <v>EMAC0 Receive Clock.</v>
      </c>
    </row>
    <row r="315" spans="1:5" ht="14" outlineLevel="2" thickBot="1">
      <c r="A315" s="81" t="s">
        <v>1291</v>
      </c>
      <c r="B315" s="173" t="str">
        <f>IF(var_OPN&lt;&gt;"",IF(varHasHPS="Yes",IF($C$26="Yes",IF($B$217="Yes",IFERROR(VLOOKUP(tblCHKHPSEMAC[[#This Row],[Pin Name]],tblHPS_EMAC,4,FALSE),MSG!$B$10),MSG!$J$70),MSG!$J$12),MSG!$J$11),MSG!$J$10)</f>
        <v>HPS_IOA_16</v>
      </c>
      <c r="C315" s="90" t="s">
        <v>22</v>
      </c>
      <c r="D315" s="90" t="s">
        <v>22</v>
      </c>
      <c r="E315" s="173" t="str">
        <f>IF(var_OPN&lt;&gt;"",IF(varHasHPS="Yes",IF($C$26="Yes",IF($B$217="Yes",IFERROR(VLOOKUP(tblCHKHPSEMAC[[#This Row],[Pin Name]],tblHPS_EMAC,2,FALSE),MSG!$B$10),MSG!$J$70),MSG!$J$12),MSG!$J$11),MSG!$J$10)</f>
        <v>EMAC0 Receive Control.</v>
      </c>
    </row>
    <row r="316" spans="1:5" ht="14" outlineLevel="2" thickBot="1">
      <c r="A316" s="81" t="s">
        <v>1292</v>
      </c>
      <c r="B316" s="173" t="str">
        <f>IF(var_OPN&lt;&gt;"",IF(varHasHPS="Yes",IF($C$26="Yes",IF($B$217="Yes",IFERROR(VLOOKUP(tblCHKHPSEMAC[[#This Row],[Pin Name]],tblHPS_EMAC,4,FALSE),MSG!$B$10),MSG!$J$70),MSG!$J$12),MSG!$J$11),MSG!$J$10)</f>
        <v>HPS_IOA_17</v>
      </c>
      <c r="C316" s="90" t="s">
        <v>22</v>
      </c>
      <c r="D316" s="90" t="s">
        <v>22</v>
      </c>
      <c r="E316" s="173" t="str">
        <f>IF(var_OPN&lt;&gt;"",IF(varHasHPS="Yes",IF($C$26="Yes",IF($B$217="Yes",IFERROR(VLOOKUP(tblCHKHPSEMAC[[#This Row],[Pin Name]],tblHPS_EMAC,2,FALSE),MSG!$B$10),MSG!$J$70),MSG!$J$12),MSG!$J$11),MSG!$J$10)</f>
        <v>EMAC0 Transmit Data Bit 0.</v>
      </c>
    </row>
    <row r="317" spans="1:5" ht="14" outlineLevel="2" thickBot="1">
      <c r="A317" s="81" t="s">
        <v>1293</v>
      </c>
      <c r="B317" s="173" t="str">
        <f>IF(var_OPN&lt;&gt;"",IF(varHasHPS="Yes",IF($C$26="Yes",IF($B$217="Yes",IFERROR(VLOOKUP(tblCHKHPSEMAC[[#This Row],[Pin Name]],tblHPS_EMAC,4,FALSE),MSG!$B$10),MSG!$J$70),MSG!$J$12),MSG!$J$11),MSG!$J$10)</f>
        <v>HPS_IOA_18</v>
      </c>
      <c r="C317" s="90" t="s">
        <v>22</v>
      </c>
      <c r="D317" s="90" t="s">
        <v>22</v>
      </c>
      <c r="E317" s="173" t="str">
        <f>IF(var_OPN&lt;&gt;"",IF(varHasHPS="Yes",IF($C$26="Yes",IF($B$217="Yes",IFERROR(VLOOKUP(tblCHKHPSEMAC[[#This Row],[Pin Name]],tblHPS_EMAC,2,FALSE),MSG!$B$10),MSG!$J$70),MSG!$J$12),MSG!$J$11),MSG!$J$10)</f>
        <v>EMAC0 Transmit Data Bit 1.</v>
      </c>
    </row>
    <row r="318" spans="1:5" ht="14" outlineLevel="2" thickBot="1">
      <c r="A318" s="81" t="s">
        <v>1294</v>
      </c>
      <c r="B318" s="173" t="str">
        <f>IF(var_OPN&lt;&gt;"",IF(varHasHPS="Yes",IF($C$26="Yes",IF($B$217="Yes",IFERROR(VLOOKUP(tblCHKHPSEMAC[[#This Row],[Pin Name]],tblHPS_EMAC,4,FALSE),MSG!$B$10),MSG!$J$70),MSG!$J$12),MSG!$J$11),MSG!$J$10)</f>
        <v>HPS_IOA_19</v>
      </c>
      <c r="C318" s="90" t="s">
        <v>22</v>
      </c>
      <c r="D318" s="90" t="s">
        <v>22</v>
      </c>
      <c r="E318" s="173" t="str">
        <f>IF(var_OPN&lt;&gt;"",IF(varHasHPS="Yes",IF($C$26="Yes",IF($B$217="Yes",IFERROR(VLOOKUP(tblCHKHPSEMAC[[#This Row],[Pin Name]],tblHPS_EMAC,2,FALSE),MSG!$B$10),MSG!$J$70),MSG!$J$12),MSG!$J$11),MSG!$J$10)</f>
        <v>EMAC0 Receive Data Bit 0.</v>
      </c>
    </row>
    <row r="319" spans="1:5" ht="14" outlineLevel="2" thickBot="1">
      <c r="A319" s="81" t="s">
        <v>1295</v>
      </c>
      <c r="B319" s="173" t="str">
        <f>IF(var_OPN&lt;&gt;"",IF(varHasHPS="Yes",IF($C$26="Yes",IF($B$217="Yes",IFERROR(VLOOKUP(tblCHKHPSEMAC[[#This Row],[Pin Name]],tblHPS_EMAC,4,FALSE),MSG!$B$10),MSG!$J$70),MSG!$J$12),MSG!$J$11),MSG!$J$10)</f>
        <v>HPS_IOA_20</v>
      </c>
      <c r="C319" s="90" t="s">
        <v>22</v>
      </c>
      <c r="D319" s="90" t="s">
        <v>22</v>
      </c>
      <c r="E319" s="173" t="str">
        <f>IF(var_OPN&lt;&gt;"",IF(varHasHPS="Yes",IF($C$26="Yes",IF($B$217="Yes",IFERROR(VLOOKUP(tblCHKHPSEMAC[[#This Row],[Pin Name]],tblHPS_EMAC,2,FALSE),MSG!$B$10),MSG!$J$70),MSG!$J$12),MSG!$J$11),MSG!$J$10)</f>
        <v>EMAC0 Receive Data Bit 1.</v>
      </c>
    </row>
    <row r="320" spans="1:5" ht="14" outlineLevel="2" thickBot="1">
      <c r="A320" s="81" t="s">
        <v>1296</v>
      </c>
      <c r="B320" s="173" t="str">
        <f>IF(var_OPN&lt;&gt;"",IF(varHasHPS="Yes",IF($C$26="Yes",IF($B$217="Yes",IFERROR(VLOOKUP(tblCHKHPSEMAC[[#This Row],[Pin Name]],tblHPS_EMAC,4,FALSE),MSG!$B$10),MSG!$J$70),MSG!$J$12),MSG!$J$11),MSG!$J$10)</f>
        <v>HPS_IOA_21</v>
      </c>
      <c r="C320" s="90" t="s">
        <v>22</v>
      </c>
      <c r="D320" s="90" t="s">
        <v>22</v>
      </c>
      <c r="E320" s="173" t="str">
        <f>IF(var_OPN&lt;&gt;"",IF(varHasHPS="Yes",IF($C$26="Yes",IF($B$217="Yes",IFERROR(VLOOKUP(tblCHKHPSEMAC[[#This Row],[Pin Name]],tblHPS_EMAC,2,FALSE),MSG!$B$10),MSG!$J$70),MSG!$J$12),MSG!$J$11),MSG!$J$10)</f>
        <v>EMAC0 Transmit Data Bit 2.</v>
      </c>
    </row>
    <row r="321" spans="1:5" ht="14" outlineLevel="2" thickBot="1">
      <c r="A321" s="81" t="s">
        <v>1297</v>
      </c>
      <c r="B321" s="173" t="str">
        <f>IF(var_OPN&lt;&gt;"",IF(varHasHPS="Yes",IF($C$26="Yes",IF($B$217="Yes",IFERROR(VLOOKUP(tblCHKHPSEMAC[[#This Row],[Pin Name]],tblHPS_EMAC,4,FALSE),MSG!$B$10),MSG!$J$70),MSG!$J$12),MSG!$J$11),MSG!$J$10)</f>
        <v>HPS_IOA_22</v>
      </c>
      <c r="C321" s="90" t="s">
        <v>22</v>
      </c>
      <c r="D321" s="90" t="s">
        <v>22</v>
      </c>
      <c r="E321" s="173" t="str">
        <f>IF(var_OPN&lt;&gt;"",IF(varHasHPS="Yes",IF($C$26="Yes",IF($B$217="Yes",IFERROR(VLOOKUP(tblCHKHPSEMAC[[#This Row],[Pin Name]],tblHPS_EMAC,2,FALSE),MSG!$B$10),MSG!$J$70),MSG!$J$12),MSG!$J$11),MSG!$J$10)</f>
        <v>EMAC0 Transmit Data Bit 3.</v>
      </c>
    </row>
    <row r="322" spans="1:5" ht="14" outlineLevel="2" thickBot="1">
      <c r="A322" s="81" t="s">
        <v>1298</v>
      </c>
      <c r="B322" s="173" t="str">
        <f>IF(var_OPN&lt;&gt;"",IF(varHasHPS="Yes",IF($C$26="Yes",IF($B$217="Yes",IFERROR(VLOOKUP(tblCHKHPSEMAC[[#This Row],[Pin Name]],tblHPS_EMAC,4,FALSE),MSG!$B$10),MSG!$J$70),MSG!$J$12),MSG!$J$11),MSG!$J$10)</f>
        <v>HPS_IOA_23</v>
      </c>
      <c r="C322" s="90" t="s">
        <v>22</v>
      </c>
      <c r="D322" s="90" t="s">
        <v>22</v>
      </c>
      <c r="E322" s="173" t="str">
        <f>IF(var_OPN&lt;&gt;"",IF(varHasHPS="Yes",IF($C$26="Yes",IF($B$217="Yes",IFERROR(VLOOKUP(tblCHKHPSEMAC[[#This Row],[Pin Name]],tblHPS_EMAC,2,FALSE),MSG!$B$10),MSG!$J$70),MSG!$J$12),MSG!$J$11),MSG!$J$10)</f>
        <v>EMAC0 Receive Data Bit 2.</v>
      </c>
    </row>
    <row r="323" spans="1:5" ht="14" outlineLevel="2" thickBot="1">
      <c r="A323" s="81" t="s">
        <v>1299</v>
      </c>
      <c r="B323" s="173" t="str">
        <f>IF(var_OPN&lt;&gt;"",IF(varHasHPS="Yes",IF($C$26="Yes",IF($B$217="Yes",IFERROR(VLOOKUP(tblCHKHPSEMAC[[#This Row],[Pin Name]],tblHPS_EMAC,4,FALSE),MSG!$B$10),MSG!$J$70),MSG!$J$12),MSG!$J$11),MSG!$J$10)</f>
        <v>HPS_IOA_24</v>
      </c>
      <c r="C323" s="90" t="s">
        <v>22</v>
      </c>
      <c r="D323" s="90" t="s">
        <v>22</v>
      </c>
      <c r="E323" s="173" t="str">
        <f>IF(var_OPN&lt;&gt;"",IF(varHasHPS="Yes",IF($C$26="Yes",IF($B$217="Yes",IFERROR(VLOOKUP(tblCHKHPSEMAC[[#This Row],[Pin Name]],tblHPS_EMAC,2,FALSE),MSG!$B$10),MSG!$J$70),MSG!$J$12),MSG!$J$11),MSG!$J$10)</f>
        <v>EMAC0 Receive Data Bit 3</v>
      </c>
    </row>
    <row r="324" spans="1:5" ht="27.5" outlineLevel="2" thickBot="1">
      <c r="A324" s="81" t="s">
        <v>576</v>
      </c>
      <c r="B324" s="173" t="str">
        <f>IF(var_OPN&lt;&gt;"",IF(varHasHPS="Yes",IF($C$26="Yes",IF($B$217="Yes",IFERROR(VLOOKUP(tblCHKHPSEMAC[[#This Row],[Pin Name]],tblHPS_EMAC,4,FALSE),MSG!$B$10),MSG!$J$70),MSG!$J$12),MSG!$J$11),MSG!$J$10)</f>
        <v>HPS_IOA_1
HPS_IOB_1</v>
      </c>
      <c r="C324" s="90" t="s">
        <v>22</v>
      </c>
      <c r="D324" s="90" t="s">
        <v>22</v>
      </c>
      <c r="E324" s="173" t="str">
        <f>IF(var_OPN&lt;&gt;"",IF(varHasHPS="Yes",IF($C$26="Yes",IF($B$217="Yes",IFERROR(VLOOKUP(tblCHKHPSEMAC[[#This Row],[Pin Name]],tblHPS_EMAC,2,FALSE),MSG!$B$10),MSG!$J$70),MSG!$J$12),MSG!$J$11),MSG!$J$10)</f>
        <v>EMAC0 1PPS signal.</v>
      </c>
    </row>
    <row r="325" spans="1:5" ht="27.5" outlineLevel="2" thickBot="1">
      <c r="A325" s="81" t="s">
        <v>578</v>
      </c>
      <c r="B325" s="173" t="str">
        <f>IF(var_OPN&lt;&gt;"",IF(varHasHPS="Yes",IF($C$26="Yes",IF($B$217="Yes",IFERROR(VLOOKUP(tblCHKHPSEMAC[[#This Row],[Pin Name]],tblHPS_EMAC,4,FALSE),MSG!$B$10),MSG!$J$70),MSG!$J$12),MSG!$J$11),MSG!$J$10)</f>
        <v>HPS_IOA_2
HPS_IOB_2</v>
      </c>
      <c r="C325" s="90" t="s">
        <v>22</v>
      </c>
      <c r="D325" s="90" t="s">
        <v>22</v>
      </c>
      <c r="E325" s="173" t="str">
        <f>IF(var_OPN&lt;&gt;"",IF(varHasHPS="Yes",IF($C$26="Yes",IF($B$217="Yes",IFERROR(VLOOKUP(tblCHKHPSEMAC[[#This Row],[Pin Name]],tblHPS_EMAC,2,FALSE),MSG!$B$10),MSG!$J$70),MSG!$J$12),MSG!$J$11),MSG!$J$10)</f>
        <v>EMAC0 1PPS trigger signal.</v>
      </c>
    </row>
    <row r="326" spans="1:5" ht="14" outlineLevel="2" thickBot="1">
      <c r="A326" s="81" t="s">
        <v>1300</v>
      </c>
      <c r="B326" s="173" t="str">
        <f>IF(var_OPN&lt;&gt;"",IF(varHasHPS="Yes",IF($C$26="Yes",IF($B$217="Yes",IFERROR(VLOOKUP(tblCHKHPSEMAC[[#This Row],[Pin Name]],tblHPS_EMAC,4,FALSE),MSG!$B$10),MSG!$J$70),MSG!$J$12),MSG!$J$11),MSG!$J$10)</f>
        <v>HPS_IOB_1</v>
      </c>
      <c r="C326" s="90" t="s">
        <v>22</v>
      </c>
      <c r="D326" s="90" t="s">
        <v>22</v>
      </c>
      <c r="E326" s="173" t="str">
        <f>IF(var_OPN&lt;&gt;"",IF(varHasHPS="Yes",IF($C$26="Yes",IF($B$217="Yes",IFERROR(VLOOKUP(tblCHKHPSEMAC[[#This Row],[Pin Name]],tblHPS_EMAC,2,FALSE),MSG!$B$10),MSG!$J$70),MSG!$J$12),MSG!$J$11),MSG!$J$10)</f>
        <v>EMAC1 Transmit Clock.</v>
      </c>
    </row>
    <row r="327" spans="1:5" ht="14" outlineLevel="2" thickBot="1">
      <c r="A327" s="81" t="s">
        <v>1301</v>
      </c>
      <c r="B327" s="173" t="str">
        <f>IF(var_OPN&lt;&gt;"",IF(varHasHPS="Yes",IF($C$26="Yes",IF($B$217="Yes",IFERROR(VLOOKUP(tblCHKHPSEMAC[[#This Row],[Pin Name]],tblHPS_EMAC,4,FALSE),MSG!$B$10),MSG!$J$70),MSG!$J$12),MSG!$J$11),MSG!$J$10)</f>
        <v>HPS_IOB_2</v>
      </c>
      <c r="C327" s="90" t="s">
        <v>22</v>
      </c>
      <c r="D327" s="90" t="s">
        <v>22</v>
      </c>
      <c r="E327" s="173" t="str">
        <f>IF(var_OPN&lt;&gt;"",IF(varHasHPS="Yes",IF($C$26="Yes",IF($B$217="Yes",IFERROR(VLOOKUP(tblCHKHPSEMAC[[#This Row],[Pin Name]],tblHPS_EMAC,2,FALSE),MSG!$B$10),MSG!$J$70),MSG!$J$12),MSG!$J$11),MSG!$J$10)</f>
        <v>EMAC1 Transmit Control.</v>
      </c>
    </row>
    <row r="328" spans="1:5" ht="14" outlineLevel="2" thickBot="1">
      <c r="A328" s="81" t="s">
        <v>1302</v>
      </c>
      <c r="B328" s="173" t="str">
        <f>IF(var_OPN&lt;&gt;"",IF(varHasHPS="Yes",IF($C$26="Yes",IF($B$217="Yes",IFERROR(VLOOKUP(tblCHKHPSEMAC[[#This Row],[Pin Name]],tblHPS_EMAC,4,FALSE),MSG!$B$10),MSG!$J$70),MSG!$J$12),MSG!$J$11),MSG!$J$10)</f>
        <v>HPS_IOB_3</v>
      </c>
      <c r="C328" s="90" t="s">
        <v>22</v>
      </c>
      <c r="D328" s="90" t="s">
        <v>22</v>
      </c>
      <c r="E328" s="173" t="str">
        <f>IF(var_OPN&lt;&gt;"",IF(varHasHPS="Yes",IF($C$26="Yes",IF($B$217="Yes",IFERROR(VLOOKUP(tblCHKHPSEMAC[[#This Row],[Pin Name]],tblHPS_EMAC,2,FALSE),MSG!$B$10),MSG!$J$70),MSG!$J$12),MSG!$J$11),MSG!$J$10)</f>
        <v>EMAC1 Receive Clock.</v>
      </c>
    </row>
    <row r="329" spans="1:5" ht="14" outlineLevel="2" thickBot="1">
      <c r="A329" s="81" t="s">
        <v>1303</v>
      </c>
      <c r="B329" s="173" t="str">
        <f>IF(var_OPN&lt;&gt;"",IF(varHasHPS="Yes",IF($C$26="Yes",IF($B$217="Yes",IFERROR(VLOOKUP(tblCHKHPSEMAC[[#This Row],[Pin Name]],tblHPS_EMAC,4,FALSE),MSG!$B$10),MSG!$J$70),MSG!$J$12),MSG!$J$11),MSG!$J$10)</f>
        <v>HPS_IOB_4</v>
      </c>
      <c r="C329" s="90" t="s">
        <v>22</v>
      </c>
      <c r="D329" s="90" t="s">
        <v>22</v>
      </c>
      <c r="E329" s="173" t="str">
        <f>IF(var_OPN&lt;&gt;"",IF(varHasHPS="Yes",IF($C$26="Yes",IF($B$217="Yes",IFERROR(VLOOKUP(tblCHKHPSEMAC[[#This Row],[Pin Name]],tblHPS_EMAC,2,FALSE),MSG!$B$10),MSG!$J$70),MSG!$J$12),MSG!$J$11),MSG!$J$10)</f>
        <v>EMAC1 Receive Control.</v>
      </c>
    </row>
    <row r="330" spans="1:5" ht="14" outlineLevel="2" thickBot="1">
      <c r="A330" s="81" t="s">
        <v>1304</v>
      </c>
      <c r="B330" s="173" t="str">
        <f>IF(var_OPN&lt;&gt;"",IF(varHasHPS="Yes",IF($C$26="Yes",IF($B$217="Yes",IFERROR(VLOOKUP(tblCHKHPSEMAC[[#This Row],[Pin Name]],tblHPS_EMAC,4,FALSE),MSG!$B$10),MSG!$J$70),MSG!$J$12),MSG!$J$11),MSG!$J$10)</f>
        <v>HPS_IOB_5</v>
      </c>
      <c r="C330" s="90" t="s">
        <v>22</v>
      </c>
      <c r="D330" s="90" t="s">
        <v>22</v>
      </c>
      <c r="E330" s="173" t="str">
        <f>IF(var_OPN&lt;&gt;"",IF(varHasHPS="Yes",IF($C$26="Yes",IF($B$217="Yes",IFERROR(VLOOKUP(tblCHKHPSEMAC[[#This Row],[Pin Name]],tblHPS_EMAC,2,FALSE),MSG!$B$10),MSG!$J$70),MSG!$J$12),MSG!$J$11),MSG!$J$10)</f>
        <v>EMAC1 Transmit Data Bit 0.</v>
      </c>
    </row>
    <row r="331" spans="1:5" ht="14" outlineLevel="2" thickBot="1">
      <c r="A331" s="81" t="s">
        <v>1305</v>
      </c>
      <c r="B331" s="173" t="str">
        <f>IF(var_OPN&lt;&gt;"",IF(varHasHPS="Yes",IF($C$26="Yes",IF($B$217="Yes",IFERROR(VLOOKUP(tblCHKHPSEMAC[[#This Row],[Pin Name]],tblHPS_EMAC,4,FALSE),MSG!$B$10),MSG!$J$70),MSG!$J$12),MSG!$J$11),MSG!$J$10)</f>
        <v>HPS_IOB_6</v>
      </c>
      <c r="C331" s="90" t="s">
        <v>22</v>
      </c>
      <c r="D331" s="90" t="s">
        <v>22</v>
      </c>
      <c r="E331" s="173" t="str">
        <f>IF(var_OPN&lt;&gt;"",IF(varHasHPS="Yes",IF($C$26="Yes",IF($B$217="Yes",IFERROR(VLOOKUP(tblCHKHPSEMAC[[#This Row],[Pin Name]],tblHPS_EMAC,2,FALSE),MSG!$B$10),MSG!$J$70),MSG!$J$12),MSG!$J$11),MSG!$J$10)</f>
        <v>EMAC1 Transmit Data Bit 1.</v>
      </c>
    </row>
    <row r="332" spans="1:5" ht="14" outlineLevel="2" thickBot="1">
      <c r="A332" s="81" t="s">
        <v>1306</v>
      </c>
      <c r="B332" s="173" t="str">
        <f>IF(var_OPN&lt;&gt;"",IF(varHasHPS="Yes",IF($C$26="Yes",IF($B$217="Yes",IFERROR(VLOOKUP(tblCHKHPSEMAC[[#This Row],[Pin Name]],tblHPS_EMAC,4,FALSE),MSG!$B$10),MSG!$J$70),MSG!$J$12),MSG!$J$11),MSG!$J$10)</f>
        <v>HPS_IOB_7</v>
      </c>
      <c r="C332" s="90" t="s">
        <v>22</v>
      </c>
      <c r="D332" s="90" t="s">
        <v>22</v>
      </c>
      <c r="E332" s="173" t="str">
        <f>IF(var_OPN&lt;&gt;"",IF(varHasHPS="Yes",IF($C$26="Yes",IF($B$217="Yes",IFERROR(VLOOKUP(tblCHKHPSEMAC[[#This Row],[Pin Name]],tblHPS_EMAC,2,FALSE),MSG!$B$10),MSG!$J$70),MSG!$J$12),MSG!$J$11),MSG!$J$10)</f>
        <v>EMAC1 Receive Data Bit 0.</v>
      </c>
    </row>
    <row r="333" spans="1:5" ht="14" outlineLevel="2" thickBot="1">
      <c r="A333" s="81" t="s">
        <v>1307</v>
      </c>
      <c r="B333" s="173" t="str">
        <f>IF(var_OPN&lt;&gt;"",IF(varHasHPS="Yes",IF($C$26="Yes",IF($B$217="Yes",IFERROR(VLOOKUP(tblCHKHPSEMAC[[#This Row],[Pin Name]],tblHPS_EMAC,4,FALSE),MSG!$B$10),MSG!$J$70),MSG!$J$12),MSG!$J$11),MSG!$J$10)</f>
        <v>HPS_IOB_8</v>
      </c>
      <c r="C333" s="90" t="s">
        <v>22</v>
      </c>
      <c r="D333" s="90" t="s">
        <v>22</v>
      </c>
      <c r="E333" s="173" t="str">
        <f>IF(var_OPN&lt;&gt;"",IF(varHasHPS="Yes",IF($C$26="Yes",IF($B$217="Yes",IFERROR(VLOOKUP(tblCHKHPSEMAC[[#This Row],[Pin Name]],tblHPS_EMAC,2,FALSE),MSG!$B$10),MSG!$J$70),MSG!$J$12),MSG!$J$11),MSG!$J$10)</f>
        <v>EMAC1 Receive Data Bit 1.</v>
      </c>
    </row>
    <row r="334" spans="1:5" ht="14" outlineLevel="2" thickBot="1">
      <c r="A334" s="81" t="s">
        <v>1308</v>
      </c>
      <c r="B334" s="173" t="str">
        <f>IF(var_OPN&lt;&gt;"",IF(varHasHPS="Yes",IF($C$26="Yes",IF($B$217="Yes",IFERROR(VLOOKUP(tblCHKHPSEMAC[[#This Row],[Pin Name]],tblHPS_EMAC,4,FALSE),MSG!$B$10),MSG!$J$70),MSG!$J$12),MSG!$J$11),MSG!$J$10)</f>
        <v>HPS_IOB_9</v>
      </c>
      <c r="C334" s="90" t="s">
        <v>22</v>
      </c>
      <c r="D334" s="90" t="s">
        <v>22</v>
      </c>
      <c r="E334" s="173" t="str">
        <f>IF(var_OPN&lt;&gt;"",IF(varHasHPS="Yes",IF($C$26="Yes",IF($B$217="Yes",IFERROR(VLOOKUP(tblCHKHPSEMAC[[#This Row],[Pin Name]],tblHPS_EMAC,2,FALSE),MSG!$B$10),MSG!$J$70),MSG!$J$12),MSG!$J$11),MSG!$J$10)</f>
        <v>EMAC1 Transmit Data Bit 2.</v>
      </c>
    </row>
    <row r="335" spans="1:5" ht="14" outlineLevel="2" thickBot="1">
      <c r="A335" s="81" t="s">
        <v>1309</v>
      </c>
      <c r="B335" s="173" t="str">
        <f>IF(var_OPN&lt;&gt;"",IF(varHasHPS="Yes",IF($C$26="Yes",IF($B$217="Yes",IFERROR(VLOOKUP(tblCHKHPSEMAC[[#This Row],[Pin Name]],tblHPS_EMAC,4,FALSE),MSG!$B$10),MSG!$J$70),MSG!$J$12),MSG!$J$11),MSG!$J$10)</f>
        <v>HPS_IOB_10</v>
      </c>
      <c r="C335" s="90" t="s">
        <v>22</v>
      </c>
      <c r="D335" s="90" t="s">
        <v>22</v>
      </c>
      <c r="E335" s="173" t="str">
        <f>IF(var_OPN&lt;&gt;"",IF(varHasHPS="Yes",IF($C$26="Yes",IF($B$217="Yes",IFERROR(VLOOKUP(tblCHKHPSEMAC[[#This Row],[Pin Name]],tblHPS_EMAC,2,FALSE),MSG!$B$10),MSG!$J$70),MSG!$J$12),MSG!$J$11),MSG!$J$10)</f>
        <v>EMAC1 Transmit Data Bit 3.</v>
      </c>
    </row>
    <row r="336" spans="1:5" ht="14" outlineLevel="2" thickBot="1">
      <c r="A336" s="81" t="s">
        <v>1310</v>
      </c>
      <c r="B336" s="173" t="str">
        <f>IF(var_OPN&lt;&gt;"",IF(varHasHPS="Yes",IF($C$26="Yes",IF($B$217="Yes",IFERROR(VLOOKUP(tblCHKHPSEMAC[[#This Row],[Pin Name]],tblHPS_EMAC,4,FALSE),MSG!$B$10),MSG!$J$70),MSG!$J$12),MSG!$J$11),MSG!$J$10)</f>
        <v>HPS_IOB_11</v>
      </c>
      <c r="C336" s="90" t="s">
        <v>22</v>
      </c>
      <c r="D336" s="90" t="s">
        <v>22</v>
      </c>
      <c r="E336" s="173" t="str">
        <f>IF(var_OPN&lt;&gt;"",IF(varHasHPS="Yes",IF($C$26="Yes",IF($B$217="Yes",IFERROR(VLOOKUP(tblCHKHPSEMAC[[#This Row],[Pin Name]],tblHPS_EMAC,2,FALSE),MSG!$B$10),MSG!$J$70),MSG!$J$12),MSG!$J$11),MSG!$J$10)</f>
        <v>EMAC1 Receive Data Bit 2.</v>
      </c>
    </row>
    <row r="337" spans="1:9" ht="14" outlineLevel="2" thickBot="1">
      <c r="A337" s="81" t="s">
        <v>1311</v>
      </c>
      <c r="B337" s="173" t="str">
        <f>IF(var_OPN&lt;&gt;"",IF(varHasHPS="Yes",IF($C$26="Yes",IF($B$217="Yes",IFERROR(VLOOKUP(tblCHKHPSEMAC[[#This Row],[Pin Name]],tblHPS_EMAC,4,FALSE),MSG!$B$10),MSG!$J$70),MSG!$J$12),MSG!$J$11),MSG!$J$10)</f>
        <v>HPS_IOB_12</v>
      </c>
      <c r="C337" s="90" t="s">
        <v>22</v>
      </c>
      <c r="D337" s="90" t="s">
        <v>22</v>
      </c>
      <c r="E337" s="173" t="str">
        <f>IF(var_OPN&lt;&gt;"",IF(varHasHPS="Yes",IF($C$26="Yes",IF($B$217="Yes",IFERROR(VLOOKUP(tblCHKHPSEMAC[[#This Row],[Pin Name]],tblHPS_EMAC,2,FALSE),MSG!$B$10),MSG!$J$70),MSG!$J$12),MSG!$J$11),MSG!$J$10)</f>
        <v>EMAC1 Receive Data Bit 3.</v>
      </c>
    </row>
    <row r="338" spans="1:9" ht="14" outlineLevel="2" thickBot="1">
      <c r="A338" s="81" t="s">
        <v>580</v>
      </c>
      <c r="B338" s="173" t="str">
        <f>IF(var_OPN&lt;&gt;"",IF(varHasHPS="Yes",IF($C$26="Yes",IF($B$217="Yes",IFERROR(VLOOKUP(tblCHKHPSEMAC[[#This Row],[Pin Name]],tblHPS_EMAC,4,FALSE),MSG!$B$10),MSG!$J$70),MSG!$J$12),MSG!$J$11),MSG!$J$10)</f>
        <v>HPS_IOA_3</v>
      </c>
      <c r="C338" s="90" t="s">
        <v>22</v>
      </c>
      <c r="D338" s="90" t="s">
        <v>22</v>
      </c>
      <c r="E338" s="173" t="str">
        <f>IF(var_OPN&lt;&gt;"",IF(varHasHPS="Yes",IF($C$26="Yes",IF($B$217="Yes",IFERROR(VLOOKUP(tblCHKHPSEMAC[[#This Row],[Pin Name]],tblHPS_EMAC,2,FALSE),MSG!$B$10),MSG!$J$70),MSG!$J$12),MSG!$J$11),MSG!$J$10)</f>
        <v>EMAC1 1PPS signal.</v>
      </c>
    </row>
    <row r="339" spans="1:9" ht="14" outlineLevel="2" thickBot="1">
      <c r="A339" s="81" t="s">
        <v>581</v>
      </c>
      <c r="B339" s="173" t="str">
        <f>IF(var_OPN&lt;&gt;"",IF(varHasHPS="Yes",IF($C$26="Yes",IF($B$217="Yes",IFERROR(VLOOKUP(tblCHKHPSEMAC[[#This Row],[Pin Name]],tblHPS_EMAC,4,FALSE),MSG!$B$10),MSG!$J$70),MSG!$J$12),MSG!$J$11),MSG!$J$10)</f>
        <v>HPS_IOA_4</v>
      </c>
      <c r="C339" s="90" t="s">
        <v>22</v>
      </c>
      <c r="D339" s="90" t="s">
        <v>22</v>
      </c>
      <c r="E339" s="173" t="str">
        <f>IF(var_OPN&lt;&gt;"",IF(varHasHPS="Yes",IF($C$26="Yes",IF($B$217="Yes",IFERROR(VLOOKUP(tblCHKHPSEMAC[[#This Row],[Pin Name]],tblHPS_EMAC,2,FALSE),MSG!$B$10),MSG!$J$70),MSG!$J$12),MSG!$J$11),MSG!$J$10)</f>
        <v>EMAC1 1PPS trigger signal.</v>
      </c>
    </row>
    <row r="340" spans="1:9" ht="14" outlineLevel="2" thickBot="1">
      <c r="A340" s="81" t="s">
        <v>1312</v>
      </c>
      <c r="B340" s="173" t="str">
        <f>IF(var_OPN&lt;&gt;"",IF(varHasHPS="Yes",IF($C$26="Yes",IF($B$217="Yes",IFERROR(VLOOKUP(tblCHKHPSEMAC[[#This Row],[Pin Name]],tblHPS_EMAC,4,FALSE),MSG!$B$10),MSG!$J$70),MSG!$J$12),MSG!$J$11),MSG!$J$10)</f>
        <v>HPS_IOB_13</v>
      </c>
      <c r="C340" s="90" t="s">
        <v>16</v>
      </c>
      <c r="D340" s="90" t="s">
        <v>16</v>
      </c>
      <c r="E340" s="173" t="str">
        <f>IF(var_OPN&lt;&gt;"",IF(varHasHPS="Yes",IF($C$26="Yes",IF($B$217="Yes",IFERROR(VLOOKUP(tblCHKHPSEMAC[[#This Row],[Pin Name]],tblHPS_EMAC,2,FALSE),MSG!$B$10),MSG!$J$70),MSG!$J$12),MSG!$J$11),MSG!$J$10)</f>
        <v>EMAC2 Transmit Clock.</v>
      </c>
    </row>
    <row r="341" spans="1:9" ht="14" outlineLevel="2" thickBot="1">
      <c r="A341" s="81" t="s">
        <v>1313</v>
      </c>
      <c r="B341" s="173" t="str">
        <f>IF(var_OPN&lt;&gt;"",IF(varHasHPS="Yes",IF($C$26="Yes",IF($B$217="Yes",IFERROR(VLOOKUP(tblCHKHPSEMAC[[#This Row],[Pin Name]],tblHPS_EMAC,4,FALSE),MSG!$B$10),MSG!$J$70),MSG!$J$12),MSG!$J$11),MSG!$J$10)</f>
        <v>HPS_IOB_14</v>
      </c>
      <c r="C341" s="90" t="s">
        <v>16</v>
      </c>
      <c r="D341" s="90" t="s">
        <v>16</v>
      </c>
      <c r="E341" s="173" t="str">
        <f>IF(var_OPN&lt;&gt;"",IF(varHasHPS="Yes",IF($C$26="Yes",IF($B$217="Yes",IFERROR(VLOOKUP(tblCHKHPSEMAC[[#This Row],[Pin Name]],tblHPS_EMAC,2,FALSE),MSG!$B$10),MSG!$J$70),MSG!$J$12),MSG!$J$11),MSG!$J$10)</f>
        <v>EMAC2 Transmit Control.</v>
      </c>
    </row>
    <row r="342" spans="1:9" ht="14" outlineLevel="2" thickBot="1">
      <c r="A342" s="81" t="s">
        <v>1314</v>
      </c>
      <c r="B342" s="173" t="str">
        <f>IF(var_OPN&lt;&gt;"",IF(varHasHPS="Yes",IF($C$26="Yes",IF($B$217="Yes",IFERROR(VLOOKUP(tblCHKHPSEMAC[[#This Row],[Pin Name]],tblHPS_EMAC,4,FALSE),MSG!$B$10),MSG!$J$70),MSG!$J$12),MSG!$J$11),MSG!$J$10)</f>
        <v>HPS_IOB_15</v>
      </c>
      <c r="C342" s="90" t="s">
        <v>16</v>
      </c>
      <c r="D342" s="90" t="s">
        <v>16</v>
      </c>
      <c r="E342" s="173" t="str">
        <f>IF(var_OPN&lt;&gt;"",IF(varHasHPS="Yes",IF($C$26="Yes",IF($B$217="Yes",IFERROR(VLOOKUP(tblCHKHPSEMAC[[#This Row],[Pin Name]],tblHPS_EMAC,2,FALSE),MSG!$B$10),MSG!$J$70),MSG!$J$12),MSG!$J$11),MSG!$J$10)</f>
        <v>EMAC2 Receive Clock.</v>
      </c>
    </row>
    <row r="343" spans="1:9" ht="14" outlineLevel="2" thickBot="1">
      <c r="A343" s="81" t="s">
        <v>1315</v>
      </c>
      <c r="B343" s="173" t="str">
        <f>IF(var_OPN&lt;&gt;"",IF(varHasHPS="Yes",IF($C$26="Yes",IF($B$217="Yes",IFERROR(VLOOKUP(tblCHKHPSEMAC[[#This Row],[Pin Name]],tblHPS_EMAC,4,FALSE),MSG!$B$10),MSG!$J$70),MSG!$J$12),MSG!$J$11),MSG!$J$10)</f>
        <v>HPS_IOB_16</v>
      </c>
      <c r="C343" s="90" t="s">
        <v>16</v>
      </c>
      <c r="D343" s="90" t="s">
        <v>16</v>
      </c>
      <c r="E343" s="173" t="str">
        <f>IF(var_OPN&lt;&gt;"",IF(varHasHPS="Yes",IF($C$26="Yes",IF($B$217="Yes",IFERROR(VLOOKUP(tblCHKHPSEMAC[[#This Row],[Pin Name]],tblHPS_EMAC,2,FALSE),MSG!$B$10),MSG!$J$70),MSG!$J$12),MSG!$J$11),MSG!$J$10)</f>
        <v>EMAC2 Receive Control.</v>
      </c>
    </row>
    <row r="344" spans="1:9" ht="14" outlineLevel="2" thickBot="1">
      <c r="A344" s="81" t="s">
        <v>1316</v>
      </c>
      <c r="B344" s="173" t="str">
        <f>IF(var_OPN&lt;&gt;"",IF(varHasHPS="Yes",IF($C$26="Yes",IF($B$217="Yes",IFERROR(VLOOKUP(tblCHKHPSEMAC[[#This Row],[Pin Name]],tblHPS_EMAC,4,FALSE),MSG!$B$10),MSG!$J$70),MSG!$J$12),MSG!$J$11),MSG!$J$10)</f>
        <v>HPS_IOB_17</v>
      </c>
      <c r="C344" s="90" t="s">
        <v>16</v>
      </c>
      <c r="D344" s="90" t="s">
        <v>16</v>
      </c>
      <c r="E344" s="173" t="str">
        <f>IF(var_OPN&lt;&gt;"",IF(varHasHPS="Yes",IF($C$26="Yes",IF($B$217="Yes",IFERROR(VLOOKUP(tblCHKHPSEMAC[[#This Row],[Pin Name]],tblHPS_EMAC,2,FALSE),MSG!$B$10),MSG!$J$70),MSG!$J$12),MSG!$J$11),MSG!$J$10)</f>
        <v>EMAC2 Transmit Data Bit 0.</v>
      </c>
    </row>
    <row r="345" spans="1:9" ht="14" outlineLevel="2" thickBot="1">
      <c r="A345" s="81" t="s">
        <v>1317</v>
      </c>
      <c r="B345" s="173" t="str">
        <f>IF(var_OPN&lt;&gt;"",IF(varHasHPS="Yes",IF($C$26="Yes",IF($B$217="Yes",IFERROR(VLOOKUP(tblCHKHPSEMAC[[#This Row],[Pin Name]],tblHPS_EMAC,4,FALSE),MSG!$B$10),MSG!$J$70),MSG!$J$12),MSG!$J$11),MSG!$J$10)</f>
        <v>HPS_IOB_18</v>
      </c>
      <c r="C345" s="90" t="s">
        <v>16</v>
      </c>
      <c r="D345" s="90" t="s">
        <v>16</v>
      </c>
      <c r="E345" s="173" t="str">
        <f>IF(var_OPN&lt;&gt;"",IF(varHasHPS="Yes",IF($C$26="Yes",IF($B$217="Yes",IFERROR(VLOOKUP(tblCHKHPSEMAC[[#This Row],[Pin Name]],tblHPS_EMAC,2,FALSE),MSG!$B$10),MSG!$J$70),MSG!$J$12),MSG!$J$11),MSG!$J$10)</f>
        <v>EMAC2 Transmit Data Bit 1.</v>
      </c>
    </row>
    <row r="346" spans="1:9" ht="14" outlineLevel="2" thickBot="1">
      <c r="A346" s="81" t="s">
        <v>1318</v>
      </c>
      <c r="B346" s="173" t="str">
        <f>IF(var_OPN&lt;&gt;"",IF(varHasHPS="Yes",IF($C$26="Yes",IF($B$217="Yes",IFERROR(VLOOKUP(tblCHKHPSEMAC[[#This Row],[Pin Name]],tblHPS_EMAC,4,FALSE),MSG!$B$10),MSG!$J$70),MSG!$J$12),MSG!$J$11),MSG!$J$10)</f>
        <v>HPS_IOB_19</v>
      </c>
      <c r="C346" s="90" t="s">
        <v>16</v>
      </c>
      <c r="D346" s="90" t="s">
        <v>16</v>
      </c>
      <c r="E346" s="173" t="str">
        <f>IF(var_OPN&lt;&gt;"",IF(varHasHPS="Yes",IF($C$26="Yes",IF($B$217="Yes",IFERROR(VLOOKUP(tblCHKHPSEMAC[[#This Row],[Pin Name]],tblHPS_EMAC,2,FALSE),MSG!$B$10),MSG!$J$70),MSG!$J$12),MSG!$J$11),MSG!$J$10)</f>
        <v>EMAC2 Receive Data Bit 0.</v>
      </c>
      <c r="F346" s="122"/>
      <c r="G346" s="122"/>
      <c r="H346" s="122"/>
      <c r="I346" s="122"/>
    </row>
    <row r="347" spans="1:9" ht="14" outlineLevel="2" thickBot="1">
      <c r="A347" s="81" t="s">
        <v>1319</v>
      </c>
      <c r="B347" s="173" t="str">
        <f>IF(var_OPN&lt;&gt;"",IF(varHasHPS="Yes",IF($C$26="Yes",IF($B$217="Yes",IFERROR(VLOOKUP(tblCHKHPSEMAC[[#This Row],[Pin Name]],tblHPS_EMAC,4,FALSE),MSG!$B$10),MSG!$J$70),MSG!$J$12),MSG!$J$11),MSG!$J$10)</f>
        <v>HPS_IOB_20</v>
      </c>
      <c r="C347" s="90" t="s">
        <v>16</v>
      </c>
      <c r="D347" s="90" t="s">
        <v>16</v>
      </c>
      <c r="E347" s="173" t="str">
        <f>IF(var_OPN&lt;&gt;"",IF(varHasHPS="Yes",IF($C$26="Yes",IF($B$217="Yes",IFERROR(VLOOKUP(tblCHKHPSEMAC[[#This Row],[Pin Name]],tblHPS_EMAC,2,FALSE),MSG!$B$10),MSG!$J$70),MSG!$J$12),MSG!$J$11),MSG!$J$10)</f>
        <v>EMAC2 Receive Data Bit 1.</v>
      </c>
      <c r="F347" s="122"/>
      <c r="G347" s="122"/>
      <c r="H347" s="122"/>
      <c r="I347" s="122"/>
    </row>
    <row r="348" spans="1:9" ht="14" outlineLevel="2" thickBot="1">
      <c r="A348" s="81" t="s">
        <v>1320</v>
      </c>
      <c r="B348" s="173" t="str">
        <f>IF(var_OPN&lt;&gt;"",IF(varHasHPS="Yes",IF($C$26="Yes",IF($B$217="Yes",IFERROR(VLOOKUP(tblCHKHPSEMAC[[#This Row],[Pin Name]],tblHPS_EMAC,4,FALSE),MSG!$B$10),MSG!$J$70),MSG!$J$12),MSG!$J$11),MSG!$J$10)</f>
        <v>HPS_IOB_21</v>
      </c>
      <c r="C348" s="90" t="s">
        <v>16</v>
      </c>
      <c r="D348" s="90" t="s">
        <v>16</v>
      </c>
      <c r="E348" s="173" t="str">
        <f>IF(var_OPN&lt;&gt;"",IF(varHasHPS="Yes",IF($C$26="Yes",IF($B$217="Yes",IFERROR(VLOOKUP(tblCHKHPSEMAC[[#This Row],[Pin Name]],tblHPS_EMAC,2,FALSE),MSG!$B$10),MSG!$J$70),MSG!$J$12),MSG!$J$11),MSG!$J$10)</f>
        <v>EMAC2 Transmit Data Bit 2.</v>
      </c>
      <c r="F348" s="122"/>
      <c r="G348" s="122"/>
      <c r="H348" s="122"/>
      <c r="I348" s="122"/>
    </row>
    <row r="349" spans="1:9" ht="14" outlineLevel="2" thickBot="1">
      <c r="A349" s="81" t="s">
        <v>1321</v>
      </c>
      <c r="B349" s="173" t="str">
        <f>IF(var_OPN&lt;&gt;"",IF(varHasHPS="Yes",IF($C$26="Yes",IF($B$217="Yes",IFERROR(VLOOKUP(tblCHKHPSEMAC[[#This Row],[Pin Name]],tblHPS_EMAC,4,FALSE),MSG!$B$10),MSG!$J$70),MSG!$J$12),MSG!$J$11),MSG!$J$10)</f>
        <v>HPS_IOB_22</v>
      </c>
      <c r="C349" s="90" t="s">
        <v>16</v>
      </c>
      <c r="D349" s="90" t="s">
        <v>16</v>
      </c>
      <c r="E349" s="173" t="str">
        <f>IF(var_OPN&lt;&gt;"",IF(varHasHPS="Yes",IF($C$26="Yes",IF($B$217="Yes",IFERROR(VLOOKUP(tblCHKHPSEMAC[[#This Row],[Pin Name]],tblHPS_EMAC,2,FALSE),MSG!$B$10),MSG!$J$70),MSG!$J$12),MSG!$J$11),MSG!$J$10)</f>
        <v>EMAC2 Transmit Data Bit 3.</v>
      </c>
      <c r="F349" s="122"/>
      <c r="G349" s="122"/>
      <c r="H349" s="122"/>
      <c r="I349" s="122"/>
    </row>
    <row r="350" spans="1:9" ht="14" outlineLevel="2" thickBot="1">
      <c r="A350" s="81" t="s">
        <v>1322</v>
      </c>
      <c r="B350" s="173" t="str">
        <f>IF(var_OPN&lt;&gt;"",IF(varHasHPS="Yes",IF($C$26="Yes",IF($B$217="Yes",IFERROR(VLOOKUP(tblCHKHPSEMAC[[#This Row],[Pin Name]],tblHPS_EMAC,4,FALSE),MSG!$B$10),MSG!$J$70),MSG!$J$12),MSG!$J$11),MSG!$J$10)</f>
        <v>HPS_IOB_23</v>
      </c>
      <c r="C350" s="90" t="s">
        <v>16</v>
      </c>
      <c r="D350" s="90" t="s">
        <v>16</v>
      </c>
      <c r="E350" s="173" t="str">
        <f>IF(var_OPN&lt;&gt;"",IF(varHasHPS="Yes",IF($C$26="Yes",IF($B$217="Yes",IFERROR(VLOOKUP(tblCHKHPSEMAC[[#This Row],[Pin Name]],tblHPS_EMAC,2,FALSE),MSG!$B$10),MSG!$J$70),MSG!$J$12),MSG!$J$11),MSG!$J$10)</f>
        <v>EMAC2 Receive Data Bit 2.</v>
      </c>
      <c r="F350" s="122"/>
      <c r="G350" s="122"/>
      <c r="H350" s="122"/>
      <c r="I350" s="122"/>
    </row>
    <row r="351" spans="1:9" ht="14" outlineLevel="2" thickBot="1">
      <c r="A351" s="81" t="s">
        <v>1323</v>
      </c>
      <c r="B351" s="173" t="str">
        <f>IF(var_OPN&lt;&gt;"",IF(varHasHPS="Yes",IF($C$26="Yes",IF($B$217="Yes",IFERROR(VLOOKUP(tblCHKHPSEMAC[[#This Row],[Pin Name]],tblHPS_EMAC,4,FALSE),MSG!$B$10),MSG!$J$70),MSG!$J$12),MSG!$J$11),MSG!$J$10)</f>
        <v>HPS_IOB_24</v>
      </c>
      <c r="C351" s="90" t="s">
        <v>16</v>
      </c>
      <c r="D351" s="90" t="s">
        <v>16</v>
      </c>
      <c r="E351" s="173" t="str">
        <f>IF(var_OPN&lt;&gt;"",IF(varHasHPS="Yes",IF($C$26="Yes",IF($B$217="Yes",IFERROR(VLOOKUP(tblCHKHPSEMAC[[#This Row],[Pin Name]],tblHPS_EMAC,2,FALSE),MSG!$B$10),MSG!$J$70),MSG!$J$12),MSG!$J$11),MSG!$J$10)</f>
        <v>EMAC2 Receive Data Bit 3.</v>
      </c>
      <c r="F351" s="122"/>
      <c r="G351" s="122"/>
      <c r="H351" s="122"/>
      <c r="I351" s="122"/>
    </row>
    <row r="352" spans="1:9" ht="27.5" outlineLevel="2" thickBot="1">
      <c r="A352" s="81" t="s">
        <v>582</v>
      </c>
      <c r="B352" s="173" t="str">
        <f>IF(var_OPN&lt;&gt;"",IF(varHasHPS="Yes",IF($C$26="Yes",IF($B$217="Yes",IFERROR(VLOOKUP(tblCHKHPSEMAC[[#This Row],[Pin Name]],tblHPS_EMAC,4,FALSE),MSG!$B$10),MSG!$J$70),MSG!$J$12),MSG!$J$11),MSG!$J$10)</f>
        <v>HPS_IOA_5
HPS_IOB_5</v>
      </c>
      <c r="C352" s="90" t="s">
        <v>22</v>
      </c>
      <c r="D352" s="90" t="s">
        <v>22</v>
      </c>
      <c r="E352" s="173" t="str">
        <f>IF(var_OPN&lt;&gt;"",IF(varHasHPS="Yes",IF($C$26="Yes",IF($B$217="Yes",IFERROR(VLOOKUP(tblCHKHPSEMAC[[#This Row],[Pin Name]],tblHPS_EMAC,2,FALSE),MSG!$B$10),MSG!$J$70),MSG!$J$12),MSG!$J$11),MSG!$J$10)</f>
        <v>EMAC2 1PPS signal.</v>
      </c>
      <c r="F352" s="122"/>
      <c r="G352" s="122"/>
      <c r="H352" s="122"/>
      <c r="I352" s="122"/>
    </row>
    <row r="353" spans="1:9" ht="27.5" outlineLevel="2" thickBot="1">
      <c r="A353" s="81" t="s">
        <v>583</v>
      </c>
      <c r="B353" s="173" t="str">
        <f>IF(var_OPN&lt;&gt;"",IF(varHasHPS="Yes",IF($C$26="Yes",IF($B$217="Yes",IFERROR(VLOOKUP(tblCHKHPSEMAC[[#This Row],[Pin Name]],tblHPS_EMAC,4,FALSE),MSG!$B$10),MSG!$J$70),MSG!$J$12),MSG!$J$11),MSG!$J$10)</f>
        <v>HPS_IOA_6
HPS_IOB_6</v>
      </c>
      <c r="C353" s="90" t="s">
        <v>22</v>
      </c>
      <c r="D353" s="90" t="s">
        <v>22</v>
      </c>
      <c r="E353" s="173" t="str">
        <f>IF(var_OPN&lt;&gt;"",IF(varHasHPS="Yes",IF($C$26="Yes",IF($B$217="Yes",IFERROR(VLOOKUP(tblCHKHPSEMAC[[#This Row],[Pin Name]],tblHPS_EMAC,2,FALSE),MSG!$B$10),MSG!$J$70),MSG!$J$12),MSG!$J$11),MSG!$J$10)</f>
        <v>EMAC2 1PPS trigger signal.</v>
      </c>
      <c r="F353" s="122"/>
      <c r="G353" s="122"/>
      <c r="H353" s="122"/>
      <c r="I353" s="122"/>
    </row>
    <row r="354" spans="1:9" ht="81.5" outlineLevel="2" collapsed="1" thickBot="1">
      <c r="A354" s="81" t="s">
        <v>1366</v>
      </c>
      <c r="B354" s="173" t="str">
        <f>IF(var_OPN&lt;&gt;"",IF(varHasHPS="Yes",IF($C$26="Yes",IF($B$217="Yes",IFERROR(VLOOKUP(tblCHKHPSEMAC[[#This Row],[Pin Name]],tblHPS_EMAC,4,FALSE),MSG!$B$10),MSG!$J$70),MSG!$J$12),MSG!$J$11),MSG!$J$10)</f>
        <v>Group 1: HPS_IOA_7 
Group 2: HPS_IOB_9 
Group 3: HPS_IOB_21
The I2C protocol requires pull-up resistors to VCCIO_HPS on both the serial data and serial clock signals for them to function correctly. The value of the pull-up resistor varies depending on your board loading, but it is typically 4.7-kΩ.</v>
      </c>
      <c r="C354" s="90" t="s">
        <v>22</v>
      </c>
      <c r="D354" s="90" t="s">
        <v>22</v>
      </c>
      <c r="E354" s="173" t="str">
        <f>IF(var_OPN&lt;&gt;"",IF(varHasHPS="Yes",IF($C$26="Yes",IF($B$217="Yes",IFERROR(VLOOKUP(tblCHKHPSEMAC[[#This Row],[Pin Name]],tblHPS_EMAC,2,FALSE),MSG!$B$10),MSG!$J$70),MSG!$J$12),MSG!$J$11),MSG!$J$10)</f>
        <v>I2C EMAC2 Serial Data.</v>
      </c>
      <c r="F354" s="122"/>
      <c r="G354" s="122"/>
      <c r="H354" s="122"/>
      <c r="I354" s="122"/>
    </row>
    <row r="355" spans="1:9" ht="81.5" outlineLevel="2" thickBot="1">
      <c r="A355" s="81" t="s">
        <v>1367</v>
      </c>
      <c r="B355" s="173" t="str">
        <f>IF(var_OPN&lt;&gt;"",IF(varHasHPS="Yes",IF($C$26="Yes",IF($B$217="Yes",IFERROR(VLOOKUP(tblCHKHPSEMAC[[#This Row],[Pin Name]],tblHPS_EMAC,4,FALSE),MSG!$B$10),MSG!$J$70),MSG!$J$12),MSG!$J$11),MSG!$J$10)</f>
        <v>Group 1: HPS_IOA_8 
Group 2: HPS_IOB_10 
Group 3: HPS_IOB_22
The I2C protocol requires pull-up resistors to VCCIO_HPS on both the serial data and serial clock signals for them to function correctly. The value of the pull-up resistor varies depending on your board loading, but it is typically 4.7-kΩ.</v>
      </c>
      <c r="C355" s="90" t="s">
        <v>22</v>
      </c>
      <c r="D355" s="90" t="s">
        <v>22</v>
      </c>
      <c r="E355" s="173" t="str">
        <f>IF(var_OPN&lt;&gt;"",IF(varHasHPS="Yes",IF($C$26="Yes",IF($B$217="Yes",IFERROR(VLOOKUP(tblCHKHPSEMAC[[#This Row],[Pin Name]],tblHPS_EMAC,2,FALSE),MSG!$B$10),MSG!$J$70),MSG!$J$12),MSG!$J$11),MSG!$J$10)</f>
        <v>I2C EMAC2 Serial Clock.</v>
      </c>
    </row>
    <row r="356" spans="1:9" ht="81.5" outlineLevel="2" thickBot="1">
      <c r="A356" s="81" t="s">
        <v>1368</v>
      </c>
      <c r="B356" s="173" t="str">
        <f>IF(var_OPN&lt;&gt;"",IF(varHasHPS="Yes",IF($C$26="Yes",IF($B$217="Yes",IFERROR(VLOOKUP(tblCHKHPSEMAC[[#This Row],[Pin Name]],tblHPS_EMAC,4,FALSE),MSG!$B$10),MSG!$J$70),MSG!$J$12),MSG!$J$11),MSG!$J$10)</f>
        <v>Group 1: HPS_IOA_9 
Group 2: HPS_IOB_19 
Group 3: -
The I2C protocol requires pull-up resistors to VCCIO_HPS on both the serial data and serial clock signals for them to function correctly. The value of the pull-up resistor varies depending on your board loading, but it is typically 4.7-kΩ.</v>
      </c>
      <c r="C356" s="90" t="s">
        <v>22</v>
      </c>
      <c r="D356" s="90" t="s">
        <v>22</v>
      </c>
      <c r="E356" s="173" t="str">
        <f>IF(var_OPN&lt;&gt;"",IF(varHasHPS="Yes",IF($C$26="Yes",IF($B$217="Yes",IFERROR(VLOOKUP(tblCHKHPSEMAC[[#This Row],[Pin Name]],tblHPS_EMAC,2,FALSE),MSG!$B$10),MSG!$J$70),MSG!$J$12),MSG!$J$11),MSG!$J$10)</f>
        <v>I2C EMAC1 Serial Data.</v>
      </c>
    </row>
    <row r="357" spans="1:9" ht="81.5" outlineLevel="2" thickBot="1">
      <c r="A357" s="81" t="s">
        <v>1369</v>
      </c>
      <c r="B357" s="173" t="str">
        <f>IF(var_OPN&lt;&gt;"",IF(varHasHPS="Yes",IF($C$26="Yes",IF($B$217="Yes",IFERROR(VLOOKUP(tblCHKHPSEMAC[[#This Row],[Pin Name]],tblHPS_EMAC,4,FALSE),MSG!$B$10),MSG!$J$70),MSG!$J$12),MSG!$J$11),MSG!$J$10)</f>
        <v>Group 1: HPS_IOA_10 
Group 2: HPS_IOB_20 
Group 3: -
The I2C protocol requires pull-up resistors to VCCIO_HPS on both the serial data and serial clock signals for them to function correctly. The value of the pull-up resistor varies depending on your board loading, but it is typically 4.7-kΩ.</v>
      </c>
      <c r="C357" s="90" t="s">
        <v>22</v>
      </c>
      <c r="D357" s="90" t="s">
        <v>22</v>
      </c>
      <c r="E357" s="173" t="str">
        <f>IF(var_OPN&lt;&gt;"",IF(varHasHPS="Yes",IF($C$26="Yes",IF($B$217="Yes",IFERROR(VLOOKUP(tblCHKHPSEMAC[[#This Row],[Pin Name]],tblHPS_EMAC,2,FALSE),MSG!$B$10),MSG!$J$70),MSG!$J$12),MSG!$J$11),MSG!$J$10)</f>
        <v>I2C EMAC1 Serial Clock.</v>
      </c>
    </row>
    <row r="358" spans="1:9" ht="81.5" outlineLevel="2" thickBot="1">
      <c r="A358" s="81" t="s">
        <v>1370</v>
      </c>
      <c r="B358" s="173" t="str">
        <f>IF(var_OPN&lt;&gt;"",IF(varHasHPS="Yes",IF($C$26="Yes",IF($B$217="Yes",IFERROR(VLOOKUP(tblCHKHPSEMAC[[#This Row],[Pin Name]],tblHPS_EMAC,4,FALSE),MSG!$B$10),MSG!$J$70),MSG!$J$12),MSG!$J$11),MSG!$J$10)</f>
        <v>Group 1: HPS_IOA_11 
Group 2: HPS_IOB_11 
Group 3: HPS_IOB_23
The I2C protocol requires pull-up resistors to VCCIO_HPS on both the serial data and serial clock signals for them to function correctly. The value of the pull-up resistor varies depending on your board loading, but it is typically 4.7-kΩ.</v>
      </c>
      <c r="C358" s="90" t="s">
        <v>22</v>
      </c>
      <c r="D358" s="90" t="s">
        <v>22</v>
      </c>
      <c r="E358" s="173" t="str">
        <f>IF(var_OPN&lt;&gt;"",IF(varHasHPS="Yes",IF($C$26="Yes",IF($B$217="Yes",IFERROR(VLOOKUP(tblCHKHPSEMAC[[#This Row],[Pin Name]],tblHPS_EMAC,2,FALSE),MSG!$B$10),MSG!$J$70),MSG!$J$12),MSG!$J$11),MSG!$J$10)</f>
        <v>I2C EMAC0 Serial Data.</v>
      </c>
      <c r="H358" s="124"/>
      <c r="I358" s="124"/>
    </row>
    <row r="359" spans="1:9" ht="81.5" outlineLevel="2" thickBot="1">
      <c r="A359" s="81" t="s">
        <v>1371</v>
      </c>
      <c r="B359" s="173" t="str">
        <f>IF(var_OPN&lt;&gt;"",IF(varHasHPS="Yes",IF($C$26="Yes",IF($B$217="Yes",IFERROR(VLOOKUP(tblCHKHPSEMAC[[#This Row],[Pin Name]],tblHPS_EMAC,4,FALSE),MSG!$B$10),MSG!$J$70),MSG!$J$12),MSG!$J$11),MSG!$J$10)</f>
        <v>Group 1: HPS_IOA_12 
Group 2: HPS_IOB_12 
Group 3: HPS_IOB_24
The I2C protocol requires pull-up resistors to VCCIO_HPS on both the serial data and serial clock signals for them to function correctly. The value of the pull-up resistor varies depending on your board loading, but it is typically 4.7-kΩ.</v>
      </c>
      <c r="C359" s="90" t="s">
        <v>22</v>
      </c>
      <c r="D359" s="90" t="s">
        <v>22</v>
      </c>
      <c r="E359" s="173" t="str">
        <f>IF(var_OPN&lt;&gt;"",IF(varHasHPS="Yes",IF($C$26="Yes",IF($B$217="Yes",IFERROR(VLOOKUP(tblCHKHPSEMAC[[#This Row],[Pin Name]],tblHPS_EMAC,2,FALSE),MSG!$B$10),MSG!$J$70),MSG!$J$12),MSG!$J$11),MSG!$J$10)</f>
        <v>I2C EMAC0 Serial Clock.</v>
      </c>
      <c r="H359" s="124"/>
      <c r="I359" s="124"/>
    </row>
    <row r="360" spans="1:9" ht="68" outlineLevel="2" thickBot="1">
      <c r="A360" s="81" t="s">
        <v>1376</v>
      </c>
      <c r="B360" s="173" t="str">
        <f>IF(var_OPN&lt;&gt;"",IF(varHasHPS="Yes",IF($C$26="Yes",IF($B$217="Yes",IFERROR(VLOOKUP(tblCHKHPSEMAC[[#This Row],[Pin Name]],tblHPS_EMAC,4,FALSE),MSG!$B$10),MSG!$J$70),MSG!$J$12),MSG!$J$11),MSG!$J$10)</f>
        <v>Group 1: HPS_IOA_7
Group 2: HPS_IOB_9 
Group 3: -
Typically the MDIO pin requires an external pull-up resistor to VCCIO_HPS in the range of 1.0-kΩ to 4.7-kΩ.</v>
      </c>
      <c r="C360" s="90" t="s">
        <v>16</v>
      </c>
      <c r="D360" s="90" t="s">
        <v>16</v>
      </c>
      <c r="E360" s="173" t="str">
        <f>IF(var_OPN&lt;&gt;"",IF(varHasHPS="Yes",IF($C$26="Yes",IF($B$217="Yes",IFERROR(VLOOKUP(tblCHKHPSEMAC[[#This Row],[Pin Name]],tblHPS_EMAC,2,FALSE),MSG!$B$10),MSG!$J$70),MSG!$J$12),MSG!$J$11),MSG!$J$10)</f>
        <v>EMAC2 MDIO.</v>
      </c>
      <c r="H360" s="124"/>
      <c r="I360" s="124"/>
    </row>
    <row r="361" spans="1:9" ht="68" outlineLevel="2" collapsed="1" thickBot="1">
      <c r="A361" s="81" t="s">
        <v>1377</v>
      </c>
      <c r="B361" s="173" t="str">
        <f>IF(var_OPN&lt;&gt;"",IF(varHasHPS="Yes",IF($C$26="Yes",IF($B$217="Yes",IFERROR(VLOOKUP(tblCHKHPSEMAC[[#This Row],[Pin Name]],tblHPS_EMAC,4,FALSE),MSG!$B$10),MSG!$J$70),MSG!$J$12),MSG!$J$11),MSG!$J$10)</f>
        <v>Group 1: HPS_IOA_8 
Group 2: HPS_IOB_10 
Group 3: -
Typically the MDIO pin requires an external pull-up resistor to VCCIO_HPS in the range of 1.0-kΩ to 4.7-kΩ.</v>
      </c>
      <c r="C361" s="90" t="s">
        <v>16</v>
      </c>
      <c r="D361" s="90" t="s">
        <v>16</v>
      </c>
      <c r="E361" s="173" t="str">
        <f>IF(var_OPN&lt;&gt;"",IF(varHasHPS="Yes",IF($C$26="Yes",IF($B$217="Yes",IFERROR(VLOOKUP(tblCHKHPSEMAC[[#This Row],[Pin Name]],tblHPS_EMAC,2,FALSE),MSG!$B$10),MSG!$J$70),MSG!$J$12),MSG!$J$11),MSG!$J$10)</f>
        <v>EMAC2 MDC.</v>
      </c>
      <c r="F361" s="122"/>
      <c r="G361" s="122"/>
    </row>
    <row r="362" spans="1:9" ht="68" outlineLevel="2" thickBot="1">
      <c r="A362" s="81" t="s">
        <v>1374</v>
      </c>
      <c r="B362" s="173" t="str">
        <f>IF(var_OPN&lt;&gt;"",IF(varHasHPS="Yes",IF($C$26="Yes",IF($B$217="Yes",IFERROR(VLOOKUP(tblCHKHPSEMAC[[#This Row],[Pin Name]],tblHPS_EMAC,4,FALSE),MSG!$B$10),MSG!$J$70),MSG!$J$12),MSG!$J$11),MSG!$J$10)</f>
        <v>Group 1: HPS_IOA_9 
Group 2: HPS_IOB_19 
Group 3: -
Typically the MDIO pin requires an external pull-up resistor to VCCIO_HPS in the range of 1.0-kΩ to 4.7-kΩ.</v>
      </c>
      <c r="C362" s="90" t="s">
        <v>22</v>
      </c>
      <c r="D362" s="90" t="s">
        <v>22</v>
      </c>
      <c r="E362" s="173" t="str">
        <f>IF(var_OPN&lt;&gt;"",IF(varHasHPS="Yes",IF($C$26="Yes",IF($B$217="Yes",IFERROR(VLOOKUP(tblCHKHPSEMAC[[#This Row],[Pin Name]],tblHPS_EMAC,2,FALSE),MSG!$B$10),MSG!$J$70),MSG!$J$12),MSG!$J$11),MSG!$J$10)</f>
        <v>EMAC1 MDIO.</v>
      </c>
      <c r="F362" s="122"/>
      <c r="G362" s="122"/>
    </row>
    <row r="363" spans="1:9" ht="68" outlineLevel="2" thickBot="1">
      <c r="A363" s="81" t="s">
        <v>1375</v>
      </c>
      <c r="B363" s="173" t="str">
        <f>IF(var_OPN&lt;&gt;"",IF(varHasHPS="Yes",IF($C$26="Yes",IF($B$217="Yes",IFERROR(VLOOKUP(tblCHKHPSEMAC[[#This Row],[Pin Name]],tblHPS_EMAC,4,FALSE),MSG!$B$10),MSG!$J$70),MSG!$J$12),MSG!$J$11),MSG!$J$10)</f>
        <v>Group 1: HPS_IOA_10 
Group 2: HPS_IOB_20 
Group 3: -
Typically the MDIO pin requires an external pull-up resistor to VCCIO_HPS in the range of 1.0-kΩ to 4.7-kΩ.</v>
      </c>
      <c r="C363" s="90" t="s">
        <v>22</v>
      </c>
      <c r="D363" s="90" t="s">
        <v>22</v>
      </c>
      <c r="E363" s="173" t="str">
        <f>IF(var_OPN&lt;&gt;"",IF(varHasHPS="Yes",IF($C$26="Yes",IF($B$217="Yes",IFERROR(VLOOKUP(tblCHKHPSEMAC[[#This Row],[Pin Name]],tblHPS_EMAC,2,FALSE),MSG!$B$10),MSG!$J$70),MSG!$J$12),MSG!$J$11),MSG!$J$10)</f>
        <v>EMAC1 MDC.</v>
      </c>
      <c r="F363" s="122"/>
      <c r="G363" s="122"/>
    </row>
    <row r="364" spans="1:9" ht="68" outlineLevel="2" thickBot="1">
      <c r="A364" s="81" t="s">
        <v>1372</v>
      </c>
      <c r="B364" s="173" t="str">
        <f>IF(var_OPN&lt;&gt;"",IF(varHasHPS="Yes",IF($C$26="Yes",IF($B$217="Yes",IFERROR(VLOOKUP(tblCHKHPSEMAC[[#This Row],[Pin Name]],tblHPS_EMAC,4,FALSE),MSG!$B$10),MSG!$J$70),MSG!$J$12),MSG!$J$11),MSG!$J$10)</f>
        <v>Group 1: HPS_IOA_11 
Group 2: HPS_IOB_11 
Group 3: HPS_IOB_23
Typically the MDIO pin requires an external pull-up resistor to VCCIO_HPS in the range of 1.0-kΩ to 4.7-kΩ.</v>
      </c>
      <c r="C364" s="90" t="s">
        <v>22</v>
      </c>
      <c r="D364" s="90" t="s">
        <v>22</v>
      </c>
      <c r="E364" s="173" t="str">
        <f>IF(var_OPN&lt;&gt;"",IF(varHasHPS="Yes",IF($C$26="Yes",IF($B$217="Yes",IFERROR(VLOOKUP(tblCHKHPSEMAC[[#This Row],[Pin Name]],tblHPS_EMAC,2,FALSE),MSG!$B$10),MSG!$J$70),MSG!$J$12),MSG!$J$11),MSG!$J$10)</f>
        <v>EMAC0 MDIO.</v>
      </c>
      <c r="F364" s="122"/>
      <c r="G364" s="122"/>
    </row>
    <row r="365" spans="1:9" ht="68" outlineLevel="2" collapsed="1" thickBot="1">
      <c r="A365" s="81" t="s">
        <v>1373</v>
      </c>
      <c r="B365" s="173" t="str">
        <f>IF(var_OPN&lt;&gt;"",IF(varHasHPS="Yes",IF($C$26="Yes",IF($B$217="Yes",IFERROR(VLOOKUP(tblCHKHPSEMAC[[#This Row],[Pin Name]],tblHPS_EMAC,4,FALSE),MSG!$B$10),MSG!$J$70),MSG!$J$12),MSG!$J$11),MSG!$J$10)</f>
        <v>Group 1: HPS_IOA_12 
Group 2: HPS_IOB_12 
Group 3: HPS_IOB_24
Typically the MDIO pin requires an external pull-up resistor to VCCIO_HPS in the range of 1.0-kΩ to 4.7-kΩ.</v>
      </c>
      <c r="C365" s="90" t="s">
        <v>22</v>
      </c>
      <c r="D365" s="90" t="s">
        <v>22</v>
      </c>
      <c r="E365" s="173" t="str">
        <f>IF(var_OPN&lt;&gt;"",IF(varHasHPS="Yes",IF($C$26="Yes",IF($B$217="Yes",IFERROR(VLOOKUP(tblCHKHPSEMAC[[#This Row],[Pin Name]],tblHPS_EMAC,2,FALSE),MSG!$B$10),MSG!$J$70),MSG!$J$12),MSG!$J$11),MSG!$J$10)</f>
        <v>EMAC0 MDC.</v>
      </c>
      <c r="F365" s="122"/>
      <c r="G365" s="122"/>
    </row>
    <row r="366" spans="1:9" ht="14" outlineLevel="1" thickBot="1">
      <c r="A366" s="119"/>
      <c r="B366" s="99"/>
      <c r="E366" s="99"/>
      <c r="F366" s="122"/>
      <c r="G366" s="122"/>
    </row>
    <row r="367" spans="1:9" ht="14" outlineLevel="1" thickBot="1">
      <c r="A367" s="83" t="s">
        <v>186</v>
      </c>
      <c r="F367" s="122"/>
      <c r="G367" s="122"/>
    </row>
    <row r="368" spans="1:9" ht="14" outlineLevel="2" collapsed="1" thickBot="1">
      <c r="A368" s="83" t="s">
        <v>30</v>
      </c>
      <c r="B368" s="83" t="s">
        <v>31</v>
      </c>
      <c r="C368" s="83" t="s">
        <v>32</v>
      </c>
      <c r="D368" s="83" t="s">
        <v>33</v>
      </c>
      <c r="E368" s="83" t="s">
        <v>34</v>
      </c>
      <c r="F368" s="122"/>
      <c r="G368" s="122"/>
    </row>
    <row r="369" spans="1:5" ht="95" outlineLevel="2" thickBot="1">
      <c r="A369" s="81" t="s">
        <v>1390</v>
      </c>
      <c r="B369" s="173" t="str">
        <f>IF(var_OPN&lt;&gt;"",IF(varHasHPS="Yes",IF($C$26="Yes",IF($B$218="Yes",IFERROR(VLOOKUP(tblCHKHPSI2C[[#This Row],[Pin Name]],tblHPS_I2C,4,FALSE),MSG!$B$10),MSG!$J$80),MSG!$J$12),MSG!$J$11),MSG!$J$10)</f>
        <v>Group 1: HPS_IOA_5 
Group 2: HPS_IOA_23 
Group 3: HPS_IOB_3 
Group 4: -
The I2C protocol requires pull-up resistors to VCCIO_HPS on both the serial data and serial clock signals for them to function correctly. The value of the pull-up resistor varies depending on your board loading, but it is typically 4.7 kΩ or lower.</v>
      </c>
      <c r="C369" s="90" t="s">
        <v>16</v>
      </c>
      <c r="D369" s="90" t="s">
        <v>16</v>
      </c>
      <c r="E369" s="173" t="str">
        <f>IF(var_OPN&lt;&gt;"",IF(varHasHPS="Yes",IF($C$26="Yes",IF($B$218="Yes",IFERROR(VLOOKUP(tblCHKHPSI2C[[#This Row],[Pin Name]],tblHPS_I2C,2,FALSE),MSG!$B$10),MSG!$J$80),MSG!$J$12),MSG!$J$11),MSG!$J$10)</f>
        <v>I2C0 Serial Data.</v>
      </c>
    </row>
    <row r="370" spans="1:5" ht="95" outlineLevel="2" thickBot="1">
      <c r="A370" s="81" t="s">
        <v>1391</v>
      </c>
      <c r="B370" s="173" t="str">
        <f>IF(var_OPN&lt;&gt;"",IF(varHasHPS="Yes",IF($C$26="Yes",IF($B$218="Yes",IFERROR(VLOOKUP(tblCHKHPSI2C[[#This Row],[Pin Name]],tblHPS_I2C,4,FALSE),MSG!$B$10),MSG!$J$80),MSG!$J$12),MSG!$J$11),MSG!$J$10)</f>
        <v>Group 1: HPS_IOA_6 
Group 2: HPS_IOA_24 
Group 3: HPS_IOB_4 
Group 4: -
The I2C protocol requires pull-up resistors to VCCIO_HPS on both the serial data and serial clock signals for them to function correctly. The value of the pull-up resistor varies depending on your board loading, but it is typically 4.7 kΩ or lower.</v>
      </c>
      <c r="C370" s="90" t="s">
        <v>16</v>
      </c>
      <c r="D370" s="90" t="s">
        <v>16</v>
      </c>
      <c r="E370" s="173" t="str">
        <f>IF(var_OPN&lt;&gt;"",IF(varHasHPS="Yes",IF($C$26="Yes",IF($B$218="Yes",IFERROR(VLOOKUP(tblCHKHPSI2C[[#This Row],[Pin Name]],tblHPS_I2C,2,FALSE),MSG!$B$10),MSG!$J$80),MSG!$J$12),MSG!$J$11),MSG!$J$10)</f>
        <v>I2C0 Serial Clock.</v>
      </c>
    </row>
    <row r="371" spans="1:5" ht="95" outlineLevel="2" thickBot="1">
      <c r="A371" s="81" t="s">
        <v>1392</v>
      </c>
      <c r="B371" s="173" t="str">
        <f>IF(var_OPN&lt;&gt;"",IF(varHasHPS="Yes",IF($C$26="Yes",IF($B$218="Yes",IFERROR(VLOOKUP(tblCHKHPSI2C[[#This Row],[Pin Name]],tblHPS_I2C,4,FALSE),MSG!$B$10),MSG!$J$80),MSG!$J$12),MSG!$J$11),MSG!$J$10)</f>
        <v>Group 1: HPS_IOA_3 
Group 2: HPS_IOA_21 
Group 3: HPS_IOB_7 
Group 4: HPS_IOB_13
The I2C protocol requires pull-up resistors to VCCIO_HPS on both the serial data and serial clock signals for them to function correctly. The value of the pull-up resistor varies depending on your board loading, but it is typically 4.7 kΩ or lower.</v>
      </c>
      <c r="C371" s="90" t="s">
        <v>22</v>
      </c>
      <c r="D371" s="90" t="s">
        <v>22</v>
      </c>
      <c r="E371" s="173" t="str">
        <f>IF(var_OPN&lt;&gt;"",IF(varHasHPS="Yes",IF($C$26="Yes",IF($B$218="Yes",IFERROR(VLOOKUP(tblCHKHPSI2C[[#This Row],[Pin Name]],tblHPS_I2C,2,FALSE),MSG!$B$10),MSG!$J$80),MSG!$J$12),MSG!$J$11),MSG!$J$10)</f>
        <v>I2C1 Serial Data.</v>
      </c>
    </row>
    <row r="372" spans="1:5" ht="95" outlineLevel="2" collapsed="1" thickBot="1">
      <c r="A372" s="81" t="s">
        <v>1393</v>
      </c>
      <c r="B372" s="173" t="str">
        <f>IF(var_OPN&lt;&gt;"",IF(varHasHPS="Yes",IF($C$26="Yes",IF($B$218="Yes",IFERROR(VLOOKUP(tblCHKHPSI2C[[#This Row],[Pin Name]],tblHPS_I2C,4,FALSE),MSG!$B$10),MSG!$J$80),MSG!$J$12),MSG!$J$11),MSG!$J$10)</f>
        <v>Group 1: HPS_IOA_4 
Group 2: HPS_IOA_22 
Group 3: HPS_IOB_8 
Group 4: HPS_IOB_14
The I2C protocol requires pull-up resistors to VCCIO_HPS on both the serial data and serial clock signals for them to function correctly. The value of the pull-up resistor varies depending on your board loading, but it is typically 4.7 kΩ or lower.</v>
      </c>
      <c r="C372" s="90" t="s">
        <v>22</v>
      </c>
      <c r="D372" s="90" t="s">
        <v>22</v>
      </c>
      <c r="E372" s="173" t="str">
        <f>IF(var_OPN&lt;&gt;"",IF(varHasHPS="Yes",IF($C$26="Yes",IF($B$218="Yes",IFERROR(VLOOKUP(tblCHKHPSI2C[[#This Row],[Pin Name]],tblHPS_I2C,2,FALSE),MSG!$B$10),MSG!$J$80),MSG!$J$12),MSG!$J$11),MSG!$J$10)</f>
        <v>I2C1 Serial Clock.</v>
      </c>
    </row>
    <row r="373" spans="1:5" ht="14" outlineLevel="1" thickBot="1"/>
    <row r="374" spans="1:5" ht="14" outlineLevel="1" thickBot="1">
      <c r="A374" s="83" t="s">
        <v>587</v>
      </c>
    </row>
    <row r="375" spans="1:5" ht="14" outlineLevel="2" thickBot="1">
      <c r="A375" s="83" t="s">
        <v>30</v>
      </c>
      <c r="B375" s="83" t="s">
        <v>31</v>
      </c>
      <c r="C375" s="83" t="s">
        <v>32</v>
      </c>
      <c r="D375" s="83" t="s">
        <v>33</v>
      </c>
      <c r="E375" s="83" t="s">
        <v>34</v>
      </c>
    </row>
    <row r="376" spans="1:5" ht="135.5" outlineLevel="2" thickBot="1">
      <c r="A376" s="81" t="s">
        <v>1398</v>
      </c>
      <c r="B376" s="173" t="str">
        <f>IF(var_OPN&lt;&gt;"",IF(varHasHPS="Yes",IF($C$26="Yes",IF($B$219="Yes",IFERROR(VLOOKUP(tblCHKHPSI3C[[#This Row],[Pin Name]],tblHPS_I3C,4,FALSE),MSG!$B$10),MSG!$L$30),MSG!$J$12),MSG!$J$11),MSG!$J$10)</f>
        <v>Group 1: HPS_IOA_11
Group 2: HPS_IOA_19
Group 3: HPS_IOB_7
Group 4: HPS_IOB_17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v>
      </c>
      <c r="C376" s="90" t="s">
        <v>22</v>
      </c>
      <c r="D376" s="90" t="s">
        <v>22</v>
      </c>
      <c r="E376" s="173" t="str">
        <f>IF(var_OPN&lt;&gt;"",IF(varHasHPS="Yes",IF($C$26="Yes",IF($B$219="Yes",IFERROR(VLOOKUP(tblCHKHPSI3C[[#This Row],[Pin Name]],tblHPS_I3C,2,FALSE),MSG!$B$10),MSG!$L$30),MSG!$J$12),MSG!$J$11),MSG!$J$10)</f>
        <v>I3C0 Serial Data.</v>
      </c>
    </row>
    <row r="377" spans="1:5" ht="135.5" outlineLevel="2" thickBot="1">
      <c r="A377" s="81" t="s">
        <v>1399</v>
      </c>
      <c r="B377" s="173" t="str">
        <f>IF(var_OPN&lt;&gt;"",IF(varHasHPS="Yes",IF($C$26="Yes",IF($B$219="Yes",IFERROR(VLOOKUP(tblCHKHPSI3C[[#This Row],[Pin Name]],tblHPS_I3C,4,FALSE),MSG!$B$10),MSG!$L$30),MSG!$J$12),MSG!$J$11),MSG!$J$10)</f>
        <v>Group 1: HPS_IOA_12
Group 2: HPS_IOA_20
Group 3: HPS_IOB_8
Group 4: HPS_IOB_18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v>
      </c>
      <c r="C377" s="90" t="s">
        <v>22</v>
      </c>
      <c r="D377" s="90" t="s">
        <v>22</v>
      </c>
      <c r="E377" s="173" t="str">
        <f>IF(var_OPN&lt;&gt;"",IF(varHasHPS="Yes",IF($C$26="Yes",IF($B$219="Yes",IFERROR(VLOOKUP(tblCHKHPSI3C[[#This Row],[Pin Name]],tblHPS_I3C,2,FALSE),MSG!$B$10),MSG!$L$30),MSG!$J$12),MSG!$J$11),MSG!$J$10)</f>
        <v>I3C0 Serial Clock.</v>
      </c>
    </row>
    <row r="378" spans="1:5" ht="135.5" outlineLevel="2" thickBot="1">
      <c r="A378" s="81" t="s">
        <v>1400</v>
      </c>
      <c r="B378" s="173" t="str">
        <f>IF(var_OPN&lt;&gt;"",IF(varHasHPS="Yes",IF($C$26="Yes",IF($B$219="Yes",IFERROR(VLOOKUP(tblCHKHPSI3C[[#This Row],[Pin Name]],tblHPS_I3C,4,FALSE),MSG!$B$10),MSG!$L$30),MSG!$J$12),MSG!$J$11),MSG!$J$10)</f>
        <v>Group 1: HPS_IOA_9
Group 2: HPS_IOA_17
Group 3: HPS_IOB_5
Group 4: HPS_IOB_15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v>
      </c>
      <c r="C378" s="90" t="s">
        <v>22</v>
      </c>
      <c r="D378" s="90" t="s">
        <v>22</v>
      </c>
      <c r="E378" s="173" t="str">
        <f>IF(var_OPN&lt;&gt;"",IF(varHasHPS="Yes",IF($C$26="Yes",IF($B$219="Yes",IFERROR(VLOOKUP(tblCHKHPSI3C[[#This Row],[Pin Name]],tblHPS_I3C,2,FALSE),MSG!$B$10),MSG!$L$30),MSG!$J$12),MSG!$J$11),MSG!$J$10)</f>
        <v>I3C1 Serial Data.</v>
      </c>
    </row>
    <row r="379" spans="1:5" ht="135.5" outlineLevel="2" thickBot="1">
      <c r="A379" s="81" t="s">
        <v>1401</v>
      </c>
      <c r="B379" s="173" t="str">
        <f>IF(var_OPN&lt;&gt;"",IF(varHasHPS="Yes",IF($C$26="Yes",IF($B$219="Yes",IFERROR(VLOOKUP(tblCHKHPSI3C[[#This Row],[Pin Name]],tblHPS_I3C,4,FALSE),MSG!$B$10),MSG!$L$30),MSG!$J$12),MSG!$J$11),MSG!$J$10)</f>
        <v>Group 1: HPS_IOA_10
Group 2: HPS_IOA_18
Group 3: HPS_IOB_6
Group 4: HPS_IOB_16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v>
      </c>
      <c r="C379" s="90" t="s">
        <v>22</v>
      </c>
      <c r="D379" s="90" t="s">
        <v>22</v>
      </c>
      <c r="E379" s="173" t="str">
        <f>IF(var_OPN&lt;&gt;"",IF(varHasHPS="Yes",IF($C$26="Yes",IF($B$219="Yes",IFERROR(VLOOKUP(tblCHKHPSI3C[[#This Row],[Pin Name]],tblHPS_I3C,2,FALSE),MSG!$B$10),MSG!$L$30),MSG!$J$12),MSG!$J$11),MSG!$J$10)</f>
        <v>I3C1 Serial Clock.</v>
      </c>
    </row>
    <row r="380" spans="1:5" ht="135.5" outlineLevel="2" thickBot="1">
      <c r="A380" s="81" t="s">
        <v>1045</v>
      </c>
      <c r="B380" s="184" t="str">
        <f>IF(var_OPN&lt;&gt;"",IF(varHasHPS="Yes",IF($C$26="Yes",IF($B$219="Yes",IFERROR(VLOOKUP(tblCHKHPSI3C[[#This Row],[Pin Name]],tblHPS_I3C,4,FALSE),MSG!$B$10),MSG!$L$30),MSG!$J$12),MSG!$J$11),MSG!$J$10)</f>
        <v>Group 1: -
Group 2: -
Group 3: HPS_IOB_1
Group 4: HPS_IOB_21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v>
      </c>
      <c r="C380" s="90" t="s">
        <v>22</v>
      </c>
      <c r="D380" s="90" t="s">
        <v>22</v>
      </c>
      <c r="E380" s="184" t="str">
        <f>IF(var_OPN&lt;&gt;"",IF(varHasHPS="Yes",IF($C$26="Yes",IF($B$219="Yes",IFERROR(VLOOKUP(tblCHKHPSI3C[[#This Row],[Pin Name]],tblHPS_I3C,2,FALSE),MSG!$B$10),MSG!$L$30),MSG!$J$12),MSG!$J$11),MSG!$J$10)</f>
        <v>I3C0 Enable the pull-up resistor.</v>
      </c>
    </row>
    <row r="381" spans="1:5" ht="135.5" outlineLevel="2" collapsed="1" thickBot="1">
      <c r="A381" s="81" t="s">
        <v>1042</v>
      </c>
      <c r="B381" s="173" t="str">
        <f>IF(var_OPN&lt;&gt;"",IF(varHasHPS="Yes",IF($C$26="Yes",IF($B$219="Yes",IFERROR(VLOOKUP(tblCHKHPSI3C[[#This Row],[Pin Name]],tblHPS_I3C,4,FALSE),MSG!$B$10),MSG!$L$30),MSG!$J$12),MSG!$J$11),MSG!$J$10)</f>
        <v>Group 1: -
Group 2: -
Group 3: HPS_IOB_2
Group 4: HPS_IOB_22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v>
      </c>
      <c r="C381" s="90" t="s">
        <v>22</v>
      </c>
      <c r="D381" s="90" t="s">
        <v>22</v>
      </c>
      <c r="E381" s="173" t="str">
        <f>IF(var_OPN&lt;&gt;"",IF(varHasHPS="Yes",IF($C$26="Yes",IF($B$219="Yes",IFERROR(VLOOKUP(tblCHKHPSI3C[[#This Row],[Pin Name]],tblHPS_I3C,2,FALSE),MSG!$B$10),MSG!$L$30),MSG!$J$12),MSG!$J$11),MSG!$J$10)</f>
        <v>I3C1 Enable the pull-up resistor.</v>
      </c>
    </row>
    <row r="382" spans="1:5" ht="14" outlineLevel="1" thickBot="1"/>
    <row r="383" spans="1:5" ht="14" outlineLevel="1" thickBot="1">
      <c r="A383" s="83" t="s">
        <v>187</v>
      </c>
      <c r="B383" s="122"/>
      <c r="C383" s="123"/>
      <c r="D383" s="123"/>
      <c r="E383" s="122"/>
    </row>
    <row r="384" spans="1:5" ht="14" outlineLevel="2" thickBot="1">
      <c r="A384" s="83" t="s">
        <v>30</v>
      </c>
      <c r="B384" s="83" t="s">
        <v>31</v>
      </c>
      <c r="C384" s="83" t="s">
        <v>32</v>
      </c>
      <c r="D384" s="83" t="s">
        <v>33</v>
      </c>
      <c r="E384" s="83" t="s">
        <v>34</v>
      </c>
    </row>
    <row r="385" spans="1:7" ht="41" outlineLevel="2" thickBot="1">
      <c r="A385" s="81" t="s">
        <v>1406</v>
      </c>
      <c r="B385" s="173" t="str">
        <f>IF(var_OPN&lt;&gt;"",IF(varHasHPS="Yes",IF($C$26="Yes",IF($B$220="Yes",IFERROR(VLOOKUP(tblCHKHPSSPI[[#This Row],[Pin Name]],tblHPS_SPI,4,FALSE),MSG!$B$10),MSG!$J$90),MSG!$J$12),MSG!$J$11),MSG!$J$10)</f>
        <v>Group 1: HPS_IOA_5 
Group 2: HPS_IOB_21 
Group 3: HPS_IOB_21</v>
      </c>
      <c r="C385" s="90" t="s">
        <v>22</v>
      </c>
      <c r="D385" s="90" t="s">
        <v>22</v>
      </c>
      <c r="E385" s="173" t="str">
        <f>IF(var_OPN&lt;&gt;"",IF(varHasHPS="Yes",IF($C$26="Yes",IF($B$220="Yes",IFERROR(VLOOKUP(tblCHKHPSSPI[[#This Row],[Pin Name]],tblHPS_SPI,2,FALSE),MSG!$B$10),MSG!$J$90),MSG!$J$12),MSG!$J$11),MSG!$J$10)</f>
        <v>SPIM0 Clock.</v>
      </c>
    </row>
    <row r="386" spans="1:7" ht="41" outlineLevel="2" thickBot="1">
      <c r="A386" s="81" t="s">
        <v>1407</v>
      </c>
      <c r="B386" s="173" t="str">
        <f>IF(var_OPN&lt;&gt;"",IF(varHasHPS="Yes",IF($C$26="Yes",IF($B$220="Yes",IFERROR(VLOOKUP(tblCHKHPSSPI[[#This Row],[Pin Name]],tblHPS_SPI,4,FALSE),MSG!$B$10),MSG!$J$90),MSG!$J$12),MSG!$J$11),MSG!$J$10)</f>
        <v>Group 1: HPS_IOA_6 
Group 2: HPS_IOB_22 
Group 3: HPS_IOB_22</v>
      </c>
      <c r="C386" s="90" t="s">
        <v>22</v>
      </c>
      <c r="D386" s="90" t="s">
        <v>22</v>
      </c>
      <c r="E386" s="173" t="str">
        <f>IF(var_OPN&lt;&gt;"",IF(varHasHPS="Yes",IF($C$26="Yes",IF($B$220="Yes",IFERROR(VLOOKUP(tblCHKHPSSPI[[#This Row],[Pin Name]],tblHPS_SPI,2,FALSE),MSG!$B$10),MSG!$J$90),MSG!$J$12),MSG!$J$11),MSG!$J$10)</f>
        <v>SPIM0 Master Out Slave In.</v>
      </c>
    </row>
    <row r="387" spans="1:7" ht="41" outlineLevel="2" thickBot="1">
      <c r="A387" s="81" t="s">
        <v>1408</v>
      </c>
      <c r="B387" s="173" t="str">
        <f>IF(var_OPN&lt;&gt;"",IF(varHasHPS="Yes",IF($C$26="Yes",IF($B$220="Yes",IFERROR(VLOOKUP(tblCHKHPSSPI[[#This Row],[Pin Name]],tblHPS_SPI,4,FALSE),MSG!$B$10),MSG!$J$90),MSG!$J$12),MSG!$J$11),MSG!$J$10)</f>
        <v>Group 1: HPS_IOA_7 
Group 2: HPS_IOB_19 
Group 3: HPS_IOB_23</v>
      </c>
      <c r="C387" s="90" t="s">
        <v>22</v>
      </c>
      <c r="D387" s="90" t="s">
        <v>22</v>
      </c>
      <c r="E387" s="173" t="str">
        <f>IF(var_OPN&lt;&gt;"",IF(varHasHPS="Yes",IF($C$26="Yes",IF($B$220="Yes",IFERROR(VLOOKUP(tblCHKHPSSPI[[#This Row],[Pin Name]],tblHPS_SPI,2,FALSE),MSG!$B$10),MSG!$J$90),MSG!$J$12),MSG!$J$11),MSG!$J$10)</f>
        <v>SPIM0 Master In Slave Out.</v>
      </c>
    </row>
    <row r="388" spans="1:7" ht="41" outlineLevel="2" thickBot="1">
      <c r="A388" s="81" t="s">
        <v>1409</v>
      </c>
      <c r="B388" s="173" t="str">
        <f>IF(var_OPN&lt;&gt;"",IF(varHasHPS="Yes",IF($C$26="Yes",IF($B$220="Yes",IFERROR(VLOOKUP(tblCHKHPSSPI[[#This Row],[Pin Name]],tblHPS_SPI,4,FALSE),MSG!$B$10),MSG!$J$90),MSG!$J$12),MSG!$J$11),MSG!$J$10)</f>
        <v>Group 1: HPS_IOA_8 
Group 2: HPS_IOB_20 
Group 3: HPS_IOB_24</v>
      </c>
      <c r="C388" s="90" t="s">
        <v>22</v>
      </c>
      <c r="D388" s="90" t="s">
        <v>22</v>
      </c>
      <c r="E388" s="173" t="str">
        <f>IF(var_OPN&lt;&gt;"",IF(varHasHPS="Yes",IF($C$26="Yes",IF($B$220="Yes",IFERROR(VLOOKUP(tblCHKHPSSPI[[#This Row],[Pin Name]],tblHPS_SPI,2,FALSE),MSG!$B$10),MSG!$J$90),MSG!$J$12),MSG!$J$11),MSG!$J$10)</f>
        <v>SPIM0 Slave Select 0.
This is an active-low signal.</v>
      </c>
    </row>
    <row r="389" spans="1:7" ht="41" outlineLevel="2" thickBot="1">
      <c r="A389" s="81" t="s">
        <v>1410</v>
      </c>
      <c r="B389" s="173" t="str">
        <f>IF(var_OPN&lt;&gt;"",IF(varHasHPS="Yes",IF($C$26="Yes",IF($B$220="Yes",IFERROR(VLOOKUP(tblCHKHPSSPI[[#This Row],[Pin Name]],tblHPS_SPI,4,FALSE),MSG!$B$10),MSG!$J$90),MSG!$J$12),MSG!$J$11),MSG!$J$10)</f>
        <v>Group 1: HPS_IOA_1 
Group 2: HPS_IOB_18 
Group 3: HPS_IOB_18</v>
      </c>
      <c r="C389" s="90" t="s">
        <v>22</v>
      </c>
      <c r="D389" s="90" t="s">
        <v>22</v>
      </c>
      <c r="E389" s="173" t="str">
        <f>IF(var_OPN&lt;&gt;"",IF(varHasHPS="Yes",IF($C$26="Yes",IF($B$220="Yes",IFERROR(VLOOKUP(tblCHKHPSSPI[[#This Row],[Pin Name]],tblHPS_SPI,2,FALSE),MSG!$B$10),MSG!$J$90),MSG!$J$12),MSG!$J$11),MSG!$J$10)</f>
        <v>SPIM0 Slave Select 1.
This is an active-low signal.</v>
      </c>
    </row>
    <row r="390" spans="1:7" ht="41" outlineLevel="2" thickBot="1">
      <c r="A390" s="81" t="s">
        <v>1411</v>
      </c>
      <c r="B390" s="173" t="str">
        <f>IF(var_OPN&lt;&gt;"",IF(varHasHPS="Yes",IF($C$26="Yes",IF($B$220="Yes",IFERROR(VLOOKUP(tblCHKHPSSPI[[#This Row],[Pin Name]],tblHPS_SPI,4,FALSE),MSG!$B$10),MSG!$J$90),MSG!$J$12),MSG!$J$11),MSG!$J$10)</f>
        <v>Group 1: HPS_IOA_9 
Group 2: HPS_IOA_21 
Group 3: HPS_IOB_1</v>
      </c>
      <c r="C390" s="90" t="s">
        <v>22</v>
      </c>
      <c r="D390" s="90" t="s">
        <v>22</v>
      </c>
      <c r="E390" s="173" t="str">
        <f>IF(var_OPN&lt;&gt;"",IF(varHasHPS="Yes",IF($C$26="Yes",IF($B$220="Yes",IFERROR(VLOOKUP(tblCHKHPSSPI[[#This Row],[Pin Name]],tblHPS_SPI,2,FALSE),MSG!$B$10),MSG!$J$90),MSG!$J$12),MSG!$J$11),MSG!$J$10)</f>
        <v>SPIM1 Clock.</v>
      </c>
    </row>
    <row r="391" spans="1:7" ht="41" outlineLevel="2" collapsed="1" thickBot="1">
      <c r="A391" s="81" t="s">
        <v>1412</v>
      </c>
      <c r="B391" s="173" t="str">
        <f>IF(var_OPN&lt;&gt;"",IF(varHasHPS="Yes",IF($C$26="Yes",IF($B$220="Yes",IFERROR(VLOOKUP(tblCHKHPSSPI[[#This Row],[Pin Name]],tblHPS_SPI,4,FALSE),MSG!$B$10),MSG!$J$90),MSG!$J$12),MSG!$J$11),MSG!$J$10)</f>
        <v>Group 1: HPS_IOA_10 
Group 2: HPS_IOA_22 
Group 3: HPS_IOB_2</v>
      </c>
      <c r="C391" s="90" t="s">
        <v>22</v>
      </c>
      <c r="D391" s="90" t="s">
        <v>22</v>
      </c>
      <c r="E391" s="173" t="str">
        <f>IF(var_OPN&lt;&gt;"",IF(varHasHPS="Yes",IF($C$26="Yes",IF($B$220="Yes",IFERROR(VLOOKUP(tblCHKHPSSPI[[#This Row],[Pin Name]],tblHPS_SPI,2,FALSE),MSG!$B$10),MSG!$J$90),MSG!$J$12),MSG!$J$11),MSG!$J$10)</f>
        <v>SPIM1 Master Out Slave In.</v>
      </c>
      <c r="F391" s="122"/>
      <c r="G391" s="122"/>
    </row>
    <row r="392" spans="1:7" ht="41" outlineLevel="2" thickBot="1">
      <c r="A392" s="81" t="s">
        <v>1413</v>
      </c>
      <c r="B392" s="173" t="str">
        <f>IF(var_OPN&lt;&gt;"",IF(varHasHPS="Yes",IF($C$26="Yes",IF($B$220="Yes",IFERROR(VLOOKUP(tblCHKHPSSPI[[#This Row],[Pin Name]],tblHPS_SPI,4,FALSE),MSG!$B$10),MSG!$J$90),MSG!$J$12),MSG!$J$11),MSG!$J$10)</f>
        <v>Group 1: HPS_IOA_11 
Group 2: HPS_IOA_23 
Group 3: HPS_IOB_3</v>
      </c>
      <c r="C392" s="90" t="s">
        <v>22</v>
      </c>
      <c r="D392" s="90" t="s">
        <v>22</v>
      </c>
      <c r="E392" s="173" t="str">
        <f>IF(var_OPN&lt;&gt;"",IF(varHasHPS="Yes",IF($C$26="Yes",IF($B$220="Yes",IFERROR(VLOOKUP(tblCHKHPSSPI[[#This Row],[Pin Name]],tblHPS_SPI,2,FALSE),MSG!$B$10),MSG!$J$90),MSG!$J$12),MSG!$J$11),MSG!$J$10)</f>
        <v>SPIM1 Master In Slave Out.</v>
      </c>
    </row>
    <row r="393" spans="1:7" ht="41" outlineLevel="2" thickBot="1">
      <c r="A393" s="81" t="s">
        <v>1414</v>
      </c>
      <c r="B393" s="173" t="str">
        <f>IF(var_OPN&lt;&gt;"",IF(varHasHPS="Yes",IF($C$26="Yes",IF($B$220="Yes",IFERROR(VLOOKUP(tblCHKHPSSPI[[#This Row],[Pin Name]],tblHPS_SPI,4,FALSE),MSG!$B$10),MSG!$J$90),MSG!$J$12),MSG!$J$11),MSG!$J$10)</f>
        <v>Group 1: HPS_IOA_12 
Group 2: HPS_IOA_24 
Group 3: HPS_IOB_4</v>
      </c>
      <c r="C393" s="90" t="s">
        <v>22</v>
      </c>
      <c r="D393" s="90" t="s">
        <v>22</v>
      </c>
      <c r="E393" s="173" t="str">
        <f>IF(var_OPN&lt;&gt;"",IF(varHasHPS="Yes",IF($C$26="Yes",IF($B$220="Yes",IFERROR(VLOOKUP(tblCHKHPSSPI[[#This Row],[Pin Name]],tblHPS_SPI,2,FALSE),MSG!$B$10),MSG!$J$90),MSG!$J$12),MSG!$J$11),MSG!$J$10)</f>
        <v>SPIM1 Slave Select 0.
This is an active-low signal.</v>
      </c>
    </row>
    <row r="394" spans="1:7" ht="41" outlineLevel="2" thickBot="1">
      <c r="A394" s="81" t="s">
        <v>1415</v>
      </c>
      <c r="B394" s="173" t="str">
        <f>IF(var_OPN&lt;&gt;"",IF(varHasHPS="Yes",IF($C$26="Yes",IF($B$220="Yes",IFERROR(VLOOKUP(tblCHKHPSSPI[[#This Row],[Pin Name]],tblHPS_SPI,4,FALSE),MSG!$B$10),MSG!$J$90),MSG!$J$12),MSG!$J$11),MSG!$J$10)</f>
        <v>Group 1: HPS_IOA_2 
Group 2: HPS_IOA_20 
Group 3: HPS_IOB_5</v>
      </c>
      <c r="C394" s="90" t="s">
        <v>22</v>
      </c>
      <c r="D394" s="90" t="s">
        <v>22</v>
      </c>
      <c r="E394" s="173" t="str">
        <f>IF(var_OPN&lt;&gt;"",IF(varHasHPS="Yes",IF($C$26="Yes",IF($B$220="Yes",IFERROR(VLOOKUP(tblCHKHPSSPI[[#This Row],[Pin Name]],tblHPS_SPI,2,FALSE),MSG!$B$10),MSG!$J$90),MSG!$J$12),MSG!$J$11),MSG!$J$10)</f>
        <v>SPIM1 Slave Select 1.
This is an active-low signal.</v>
      </c>
    </row>
    <row r="395" spans="1:7" ht="41" outlineLevel="2" thickBot="1">
      <c r="A395" s="81" t="s">
        <v>1416</v>
      </c>
      <c r="B395" s="173" t="str">
        <f>IF(var_OPN&lt;&gt;"",IF(varHasHPS="Yes",IF($C$26="Yes",IF($B$220="Yes",IFERROR(VLOOKUP(tblCHKHPSSPI[[#This Row],[Pin Name]],tblHPS_SPI,4,FALSE),MSG!$B$10),MSG!$J$90),MSG!$J$12),MSG!$J$11),MSG!$J$10)</f>
        <v>Group 1: HPS_IOA_1 
Group 2: HPS_IOA_21 
Group 3: HPS_IOB_9</v>
      </c>
      <c r="C395" s="90" t="s">
        <v>22</v>
      </c>
      <c r="D395" s="90" t="s">
        <v>22</v>
      </c>
      <c r="E395" s="173" t="str">
        <f>IF(var_OPN&lt;&gt;"",IF(varHasHPS="Yes",IF($C$26="Yes",IF($B$220="Yes",IFERROR(VLOOKUP(tblCHKHPSSPI[[#This Row],[Pin Name]],tblHPS_SPI,2,FALSE),MSG!$B$10),MSG!$J$90),MSG!$J$12),MSG!$J$11),MSG!$J$10)</f>
        <v>SPIS0 Clock.</v>
      </c>
    </row>
    <row r="396" spans="1:7" ht="41" outlineLevel="2" thickBot="1">
      <c r="A396" s="81" t="s">
        <v>1417</v>
      </c>
      <c r="B396" s="173" t="str">
        <f>IF(var_OPN&lt;&gt;"",IF(varHasHPS="Yes",IF($C$26="Yes",IF($B$220="Yes",IFERROR(VLOOKUP(tblCHKHPSSPI[[#This Row],[Pin Name]],tblHPS_SPI,4,FALSE),MSG!$B$10),MSG!$J$90),MSG!$J$12),MSG!$J$11),MSG!$J$10)</f>
        <v>Group 1: HPS_IOA_2 
Group 2: HPS_IOA_22 
Group 3: HPS_IOB_10</v>
      </c>
      <c r="C396" s="90" t="s">
        <v>22</v>
      </c>
      <c r="D396" s="90" t="s">
        <v>22</v>
      </c>
      <c r="E396" s="173" t="str">
        <f>IF(var_OPN&lt;&gt;"",IF(varHasHPS="Yes",IF($C$26="Yes",IF($B$220="Yes",IFERROR(VLOOKUP(tblCHKHPSSPI[[#This Row],[Pin Name]],tblHPS_SPI,2,FALSE),MSG!$B$10),MSG!$J$90),MSG!$J$12),MSG!$J$11),MSG!$J$10)</f>
        <v>SPIS0 Master Out Slave In.</v>
      </c>
    </row>
    <row r="397" spans="1:7" ht="41" outlineLevel="2" thickBot="1">
      <c r="A397" s="81" t="s">
        <v>1418</v>
      </c>
      <c r="B397" s="173" t="str">
        <f>IF(var_OPN&lt;&gt;"",IF(varHasHPS="Yes",IF($C$26="Yes",IF($B$220="Yes",IFERROR(VLOOKUP(tblCHKHPSSPI[[#This Row],[Pin Name]],tblHPS_SPI,4,FALSE),MSG!$B$10),MSG!$J$90),MSG!$J$12),MSG!$J$11),MSG!$J$10)</f>
        <v>Group 1: HPS_IOA_4 
Group 2: HPS_IOA_24 
Group 3: HPS_IOB_12</v>
      </c>
      <c r="C397" s="90" t="s">
        <v>22</v>
      </c>
      <c r="D397" s="90" t="s">
        <v>22</v>
      </c>
      <c r="E397" s="173" t="str">
        <f>IF(var_OPN&lt;&gt;"",IF(varHasHPS="Yes",IF($C$26="Yes",IF($B$220="Yes",IFERROR(VLOOKUP(tblCHKHPSSPI[[#This Row],[Pin Name]],tblHPS_SPI,2,FALSE),MSG!$B$10),MSG!$J$90),MSG!$J$12),MSG!$J$11),MSG!$J$10)</f>
        <v>SPIS0 Master In Slave Out.</v>
      </c>
    </row>
    <row r="398" spans="1:7" ht="41" outlineLevel="2" thickBot="1">
      <c r="A398" s="81" t="s">
        <v>1419</v>
      </c>
      <c r="B398" s="173" t="str">
        <f>IF(var_OPN&lt;&gt;"",IF(varHasHPS="Yes",IF($C$26="Yes",IF($B$220="Yes",IFERROR(VLOOKUP(tblCHKHPSSPI[[#This Row],[Pin Name]],tblHPS_SPI,4,FALSE),MSG!$B$10),MSG!$J$90),MSG!$J$12),MSG!$J$11),MSG!$J$10)</f>
        <v>Group 1: HPS_IOA_3 
Group 2: HPS_IOA_23 
Group 3: HPS_IOB_11</v>
      </c>
      <c r="C398" s="90" t="s">
        <v>22</v>
      </c>
      <c r="D398" s="90" t="s">
        <v>22</v>
      </c>
      <c r="E398" s="173" t="str">
        <f>IF(var_OPN&lt;&gt;"",IF(varHasHPS="Yes",IF($C$26="Yes",IF($B$220="Yes",IFERROR(VLOOKUP(tblCHKHPSSPI[[#This Row],[Pin Name]],tblHPS_SPI,2,FALSE),MSG!$B$10),MSG!$J$90),MSG!$J$12),MSG!$J$11),MSG!$J$10)</f>
        <v>SPIS0 Slave Select 0.
This is an active-low signal.</v>
      </c>
    </row>
    <row r="399" spans="1:7" ht="41" outlineLevel="2" thickBot="1">
      <c r="A399" s="81" t="s">
        <v>1420</v>
      </c>
      <c r="B399" s="173" t="str">
        <f>IF(var_OPN&lt;&gt;"",IF(varHasHPS="Yes",IF($C$26="Yes",IF($B$220="Yes",IFERROR(VLOOKUP(tblCHKHPSSPI[[#This Row],[Pin Name]],tblHPS_SPI,4,FALSE),MSG!$B$10),MSG!$J$90),MSG!$J$12),MSG!$J$11),MSG!$J$10)</f>
        <v>Group 1: HPS_IOA_9 
Group 2: HPS_IOB_5 
Group 3: HPS_IOB_21</v>
      </c>
      <c r="C399" s="90" t="s">
        <v>22</v>
      </c>
      <c r="D399" s="90" t="s">
        <v>22</v>
      </c>
      <c r="E399" s="173" t="str">
        <f>IF(var_OPN&lt;&gt;"",IF(varHasHPS="Yes",IF($C$26="Yes",IF($B$220="Yes",IFERROR(VLOOKUP(tblCHKHPSSPI[[#This Row],[Pin Name]],tblHPS_SPI,2,FALSE),MSG!$B$10),MSG!$J$90),MSG!$J$12),MSG!$J$11),MSG!$J$10)</f>
        <v>SPIS1 Clock.</v>
      </c>
    </row>
    <row r="400" spans="1:7" ht="41" outlineLevel="2" thickBot="1">
      <c r="A400" s="81" t="s">
        <v>1421</v>
      </c>
      <c r="B400" s="173" t="str">
        <f>IF(var_OPN&lt;&gt;"",IF(varHasHPS="Yes",IF($C$26="Yes",IF($B$220="Yes",IFERROR(VLOOKUP(tblCHKHPSSPI[[#This Row],[Pin Name]],tblHPS_SPI,4,FALSE),MSG!$B$10),MSG!$J$90),MSG!$J$12),MSG!$J$11),MSG!$J$10)</f>
        <v>Group 1: HPS_IOA_10 
Group 2: HPS_IOB_6 
Group 3: HPS_IOB_22</v>
      </c>
      <c r="C400" s="90" t="s">
        <v>22</v>
      </c>
      <c r="D400" s="90" t="s">
        <v>22</v>
      </c>
      <c r="E400" s="173" t="str">
        <f>IF(var_OPN&lt;&gt;"",IF(varHasHPS="Yes",IF($C$26="Yes",IF($B$220="Yes",IFERROR(VLOOKUP(tblCHKHPSSPI[[#This Row],[Pin Name]],tblHPS_SPI,2,FALSE),MSG!$B$10),MSG!$J$90),MSG!$J$12),MSG!$J$11),MSG!$J$10)</f>
        <v>SPIS1 Master Out Slave In.</v>
      </c>
    </row>
    <row r="401" spans="1:5" ht="41" outlineLevel="2" thickBot="1">
      <c r="A401" s="81" t="s">
        <v>1422</v>
      </c>
      <c r="B401" s="173" t="str">
        <f>IF(var_OPN&lt;&gt;"",IF(varHasHPS="Yes",IF($C$26="Yes",IF($B$220="Yes",IFERROR(VLOOKUP(tblCHKHPSSPI[[#This Row],[Pin Name]],tblHPS_SPI,4,FALSE),MSG!$B$10),MSG!$J$90),MSG!$J$12),MSG!$J$11),MSG!$J$10)</f>
        <v>Group 1: HPS_IOA_12 
Group 2: HPS_IOB_8 
Group 3: HPS_IOB_24</v>
      </c>
      <c r="C401" s="90" t="s">
        <v>22</v>
      </c>
      <c r="D401" s="90" t="s">
        <v>22</v>
      </c>
      <c r="E401" s="173" t="str">
        <f>IF(var_OPN&lt;&gt;"",IF(varHasHPS="Yes",IF($C$26="Yes",IF($B$220="Yes",IFERROR(VLOOKUP(tblCHKHPSSPI[[#This Row],[Pin Name]],tblHPS_SPI,2,FALSE),MSG!$B$10),MSG!$J$90),MSG!$J$12),MSG!$J$11),MSG!$J$10)</f>
        <v>SPIS1 Master In Slave Out.</v>
      </c>
    </row>
    <row r="402" spans="1:5" ht="41" outlineLevel="2" collapsed="1" thickBot="1">
      <c r="A402" s="81" t="s">
        <v>1423</v>
      </c>
      <c r="B402" s="173" t="str">
        <f>IF(var_OPN&lt;&gt;"",IF(varHasHPS="Yes",IF($C$26="Yes",IF($B$220="Yes",IFERROR(VLOOKUP(tblCHKHPSSPI[[#This Row],[Pin Name]],tblHPS_SPI,4,FALSE),MSG!$B$10),MSG!$J$90),MSG!$J$12),MSG!$J$11),MSG!$J$10)</f>
        <v>Group 1: HPS_IOA_11 
Group 2: HPS_IOB_7 
Group 3: HPS_IOB_23</v>
      </c>
      <c r="C402" s="90" t="s">
        <v>22</v>
      </c>
      <c r="D402" s="90" t="s">
        <v>22</v>
      </c>
      <c r="E402" s="173" t="str">
        <f>IF(var_OPN&lt;&gt;"",IF(varHasHPS="Yes",IF($C$26="Yes",IF($B$220="Yes",IFERROR(VLOOKUP(tblCHKHPSSPI[[#This Row],[Pin Name]],tblHPS_SPI,2,FALSE),MSG!$B$10),MSG!$J$90),MSG!$J$12),MSG!$J$11),MSG!$J$10)</f>
        <v>SPIS1 Slave Select 0.
This is an active-low signal.</v>
      </c>
    </row>
    <row r="403" spans="1:5" ht="14" outlineLevel="1" thickBot="1"/>
    <row r="404" spans="1:5" ht="14" outlineLevel="1" thickBot="1">
      <c r="A404" s="83" t="s">
        <v>188</v>
      </c>
      <c r="B404" s="122"/>
      <c r="C404" s="123"/>
      <c r="D404" s="123"/>
      <c r="E404" s="122"/>
    </row>
    <row r="405" spans="1:5" ht="14" outlineLevel="2" thickBot="1">
      <c r="A405" s="83" t="s">
        <v>30</v>
      </c>
      <c r="B405" s="83" t="s">
        <v>31</v>
      </c>
      <c r="C405" s="83" t="s">
        <v>32</v>
      </c>
      <c r="D405" s="83" t="s">
        <v>33</v>
      </c>
      <c r="E405" s="83" t="s">
        <v>34</v>
      </c>
    </row>
    <row r="406" spans="1:5" ht="41" outlineLevel="2" thickBot="1">
      <c r="A406" s="81" t="s">
        <v>1428</v>
      </c>
      <c r="B406" s="173" t="str">
        <f>IF(var_OPN&lt;&gt;"",IF(varHasHPS="Yes",IF($C$26="Yes",IF($B$221="Yes",IFERROR(VLOOKUP(tblCHKHPSUART[[#This Row],[Pin Name]],tblHPS_UART,4,FALSE),MSG!$B$10),MSG!$L$10),MSG!$J$12),MSG!$J$11),MSG!$J$10)</f>
        <v>Group 1: HPS_IOA_1 
Group 2: HPS_IOA_21 
Group 3: HPS_IOB_1</v>
      </c>
      <c r="C406" s="90" t="s">
        <v>22</v>
      </c>
      <c r="D406" s="90" t="s">
        <v>22</v>
      </c>
      <c r="E406" s="173" t="str">
        <f>IF(var_OPN&lt;&gt;"",IF(varHasHPS="Yes",IF($C$26="Yes",IF($B$221="Yes",IFERROR(VLOOKUP(tblCHKHPSUART[[#This Row],[Pin Name]],tblHPS_UART,2,FALSE),MSG!$B$10),MSG!$L$10),MSG!$J$12),MSG!$J$11),MSG!$J$10)</f>
        <v>UART0 Clear to Send.
This is an active-low signal.</v>
      </c>
    </row>
    <row r="407" spans="1:5" ht="41" outlineLevel="2" thickBot="1">
      <c r="A407" s="81" t="s">
        <v>1429</v>
      </c>
      <c r="B407" s="173" t="str">
        <f>IF(var_OPN&lt;&gt;"",IF(varHasHPS="Yes",IF($C$26="Yes",IF($B$221="Yes",IFERROR(VLOOKUP(tblCHKHPSUART[[#This Row],[Pin Name]],tblHPS_UART,4,FALSE),MSG!$B$10),MSG!$L$10),MSG!$J$12),MSG!$J$11),MSG!$J$10)</f>
        <v>Group 1: HPS_IOA_2 
Group 2: HPS_IOA_22 
Group 3: HPS_IOB_2</v>
      </c>
      <c r="C407" s="90" t="s">
        <v>22</v>
      </c>
      <c r="D407" s="90" t="s">
        <v>22</v>
      </c>
      <c r="E407" s="173" t="str">
        <f>IF(var_OPN&lt;&gt;"",IF(varHasHPS="Yes",IF($C$26="Yes",IF($B$221="Yes",IFERROR(VLOOKUP(tblCHKHPSUART[[#This Row],[Pin Name]],tblHPS_UART,2,FALSE),MSG!$B$10),MSG!$L$10),MSG!$J$12),MSG!$J$11),MSG!$J$10)</f>
        <v>UART0 Request to Send.
This is an active-low signal.</v>
      </c>
    </row>
    <row r="408" spans="1:5" ht="41" outlineLevel="2" thickBot="1">
      <c r="A408" s="81" t="s">
        <v>1430</v>
      </c>
      <c r="B408" s="173" t="str">
        <f>IF(var_OPN&lt;&gt;"",IF(varHasHPS="Yes",IF($C$26="Yes",IF($B$221="Yes",IFERROR(VLOOKUP(tblCHKHPSUART[[#This Row],[Pin Name]],tblHPS_UART,4,FALSE),MSG!$B$10),MSG!$L$10),MSG!$J$12),MSG!$J$11),MSG!$J$10)</f>
        <v>Group 1: HPS_IOA_3 
Group 2: HPS_IOA_23 
Group 3: HPS_IOB_3</v>
      </c>
      <c r="C408" s="90" t="s">
        <v>22</v>
      </c>
      <c r="D408" s="90" t="s">
        <v>22</v>
      </c>
      <c r="E408" s="173" t="str">
        <f>IF(var_OPN&lt;&gt;"",IF(varHasHPS="Yes",IF($C$26="Yes",IF($B$221="Yes",IFERROR(VLOOKUP(tblCHKHPSUART[[#This Row],[Pin Name]],tblHPS_UART,2,FALSE),MSG!$B$10),MSG!$L$10),MSG!$J$12),MSG!$J$11),MSG!$J$10)</f>
        <v>UART0 Transmit.</v>
      </c>
    </row>
    <row r="409" spans="1:5" ht="41" outlineLevel="2" thickBot="1">
      <c r="A409" s="81" t="s">
        <v>1431</v>
      </c>
      <c r="B409" s="173" t="str">
        <f>IF(var_OPN&lt;&gt;"",IF(varHasHPS="Yes",IF($C$26="Yes",IF($B$221="Yes",IFERROR(VLOOKUP(tblCHKHPSUART[[#This Row],[Pin Name]],tblHPS_UART,4,FALSE),MSG!$B$10),MSG!$L$10),MSG!$J$12),MSG!$J$11),MSG!$J$10)</f>
        <v>Group 1: HPS_IOA_4 
Group 2: HPS_IOA_24 
Group 3: HPS_IOB_4</v>
      </c>
      <c r="C409" s="90" t="s">
        <v>22</v>
      </c>
      <c r="D409" s="90" t="s">
        <v>22</v>
      </c>
      <c r="E409" s="173" t="str">
        <f>IF(var_OPN&lt;&gt;"",IF(varHasHPS="Yes",IF($C$26="Yes",IF($B$221="Yes",IFERROR(VLOOKUP(tblCHKHPSUART[[#This Row],[Pin Name]],tblHPS_UART,2,FALSE),MSG!$B$10),MSG!$L$10),MSG!$J$12),MSG!$J$11),MSG!$J$10)</f>
        <v>UART0 Receive.</v>
      </c>
    </row>
    <row r="410" spans="1:5" ht="41" outlineLevel="2" thickBot="1">
      <c r="A410" s="81" t="s">
        <v>1432</v>
      </c>
      <c r="B410" s="173" t="str">
        <f>IF(var_OPN&lt;&gt;"",IF(varHasHPS="Yes",IF($C$26="Yes",IF($B$221="Yes",IFERROR(VLOOKUP(tblCHKHPSUART[[#This Row],[Pin Name]],tblHPS_UART,4,FALSE),MSG!$B$10),MSG!$L$10),MSG!$J$12),MSG!$J$11),MSG!$J$10)</f>
        <v>Group 1: HPS_IOA_5 
Group 2: HPS_IOB_5 
Group 3: HPS_IOB_17</v>
      </c>
      <c r="C410" s="90" t="s">
        <v>22</v>
      </c>
      <c r="D410" s="90" t="s">
        <v>22</v>
      </c>
      <c r="E410" s="173" t="str">
        <f>IF(var_OPN&lt;&gt;"",IF(varHasHPS="Yes",IF($C$26="Yes",IF($B$221="Yes",IFERROR(VLOOKUP(tblCHKHPSUART[[#This Row],[Pin Name]],tblHPS_UART,2,FALSE),MSG!$B$10),MSG!$L$10),MSG!$J$12),MSG!$J$11),MSG!$J$10)</f>
        <v>UART1 Clear to Send.
This is an active-low signal.</v>
      </c>
    </row>
    <row r="411" spans="1:5" ht="41" outlineLevel="2" thickBot="1">
      <c r="A411" s="81" t="s">
        <v>1433</v>
      </c>
      <c r="B411" s="173" t="str">
        <f>IF(var_OPN&lt;&gt;"",IF(varHasHPS="Yes",IF($C$26="Yes",IF($B$221="Yes",IFERROR(VLOOKUP(tblCHKHPSUART[[#This Row],[Pin Name]],tblHPS_UART,4,FALSE),MSG!$B$10),MSG!$L$10),MSG!$J$12),MSG!$J$11),MSG!$J$10)</f>
        <v>Group 1: HPS_IOA_6 
Group 2: HPS_IOB_6 
Group 3: HPS_IOB_18</v>
      </c>
      <c r="C411" s="90" t="s">
        <v>22</v>
      </c>
      <c r="D411" s="90" t="s">
        <v>22</v>
      </c>
      <c r="E411" s="173" t="str">
        <f>IF(var_OPN&lt;&gt;"",IF(varHasHPS="Yes",IF($C$26="Yes",IF($B$221="Yes",IFERROR(VLOOKUP(tblCHKHPSUART[[#This Row],[Pin Name]],tblHPS_UART,2,FALSE),MSG!$B$10),MSG!$L$10),MSG!$J$12),MSG!$J$11),MSG!$J$10)</f>
        <v>UART1 Request to Send.
This is an active-low signal.</v>
      </c>
    </row>
    <row r="412" spans="1:5" ht="41" outlineLevel="2" thickBot="1">
      <c r="A412" s="81" t="s">
        <v>1434</v>
      </c>
      <c r="B412" s="173" t="str">
        <f>IF(var_OPN&lt;&gt;"",IF(varHasHPS="Yes",IF($C$26="Yes",IF($B$221="Yes",IFERROR(VLOOKUP(tblCHKHPSUART[[#This Row],[Pin Name]],tblHPS_UART,4,FALSE),MSG!$B$10),MSG!$L$10),MSG!$J$12),MSG!$J$11),MSG!$J$10)</f>
        <v>Group 1: HPS_IOA_7 
Group 2: HPS_IOB_7 
Group 3: HPS_IOB_15</v>
      </c>
      <c r="C412" s="90" t="s">
        <v>22</v>
      </c>
      <c r="D412" s="90" t="s">
        <v>22</v>
      </c>
      <c r="E412" s="173" t="str">
        <f>IF(var_OPN&lt;&gt;"",IF(varHasHPS="Yes",IF($C$26="Yes",IF($B$221="Yes",IFERROR(VLOOKUP(tblCHKHPSUART[[#This Row],[Pin Name]],tblHPS_UART,2,FALSE),MSG!$B$10),MSG!$L$10),MSG!$J$12),MSG!$J$11),MSG!$J$10)</f>
        <v>UART1 Transmit.</v>
      </c>
    </row>
    <row r="413" spans="1:5" ht="41" outlineLevel="2" collapsed="1" thickBot="1">
      <c r="A413" s="81" t="s">
        <v>1435</v>
      </c>
      <c r="B413" s="173" t="str">
        <f>IF(var_OPN&lt;&gt;"",IF(varHasHPS="Yes",IF($C$26="Yes",IF($B$221="Yes",IFERROR(VLOOKUP(tblCHKHPSUART[[#This Row],[Pin Name]],tblHPS_UART,4,FALSE),MSG!$B$10),MSG!$L$10),MSG!$J$12),MSG!$J$11),MSG!$J$10)</f>
        <v>Group 1: HPS_IOA_8 
Group 2: HPS_IOB_8 
Group 3: HPS_IOB_16</v>
      </c>
      <c r="C413" s="90" t="s">
        <v>22</v>
      </c>
      <c r="D413" s="90" t="s">
        <v>22</v>
      </c>
      <c r="E413" s="173" t="str">
        <f>IF(var_OPN&lt;&gt;"",IF(varHasHPS="Yes",IF($C$26="Yes",IF($B$221="Yes",IFERROR(VLOOKUP(tblCHKHPSUART[[#This Row],[Pin Name]],tblHPS_UART,2,FALSE),MSG!$B$10),MSG!$L$10),MSG!$J$12),MSG!$J$11),MSG!$J$10)</f>
        <v>UART1 Receive.</v>
      </c>
    </row>
    <row r="414" spans="1:5" ht="14" outlineLevel="1" thickBot="1">
      <c r="A414" s="121"/>
      <c r="B414" s="99"/>
      <c r="C414" s="60"/>
      <c r="D414" s="60"/>
      <c r="E414" s="99"/>
    </row>
    <row r="415" spans="1:5" ht="14" outlineLevel="1" thickBot="1">
      <c r="A415" s="83" t="s">
        <v>189</v>
      </c>
      <c r="B415" s="122"/>
      <c r="C415" s="123"/>
      <c r="D415" s="123"/>
      <c r="E415" s="122"/>
    </row>
    <row r="416" spans="1:5" ht="14" outlineLevel="2" thickBot="1">
      <c r="A416" s="83" t="s">
        <v>30</v>
      </c>
      <c r="B416" s="83" t="s">
        <v>31</v>
      </c>
      <c r="C416" s="83" t="s">
        <v>32</v>
      </c>
      <c r="D416" s="83" t="s">
        <v>33</v>
      </c>
      <c r="E416" s="83" t="s">
        <v>34</v>
      </c>
    </row>
    <row r="417" spans="1:5" ht="27.5" outlineLevel="2" thickBot="1">
      <c r="A417" s="81" t="s">
        <v>190</v>
      </c>
      <c r="B417" s="173" t="str">
        <f>IF(var_OPN&lt;&gt;"",IF(varHasHPS="Yes",IF($C$26="Yes",IF($B$222="Yes",IFERROR(VLOOKUP(tblCHKHPSTRACE[[#This Row],[Pin Name]],tblHPS_TRACE,4,FALSE),MSG!$B$10),MSG!$L$20),MSG!$J$12),MSG!$J$11),MSG!$J$10)</f>
        <v>HPS_IOA_20
HPS_IOB_20</v>
      </c>
      <c r="C417" s="90" t="s">
        <v>22</v>
      </c>
      <c r="D417" s="90" t="s">
        <v>22</v>
      </c>
      <c r="E417" s="173" t="str">
        <f>IF(var_OPN&lt;&gt;"",IF(varHasHPS="Yes",IF($C$26="Yes",IF($B$222="Yes",IFERROR(VLOOKUP(tblCHKHPSTRACE[[#This Row],[Pin Name]],tblHPS_TRACE,2,FALSE),MSG!$B$10),MSG!$L$20),MSG!$J$12),MSG!$J$11),MSG!$J$10)</f>
        <v>Trace Clock.</v>
      </c>
    </row>
    <row r="418" spans="1:5" ht="54.5" outlineLevel="2" thickBot="1">
      <c r="A418" s="81" t="s">
        <v>191</v>
      </c>
      <c r="B418" s="173" t="str">
        <f>IF(var_OPN&lt;&gt;"",IF(varHasHPS="Yes",IF($C$26="Yes",IF($B$222="Yes",IFERROR(VLOOKUP(tblCHKHPSTRACE[[#This Row],[Pin Name]],tblHPS_TRACE,4,FALSE),MSG!$B$10),MSG!$L$20),MSG!$J$12),MSG!$J$11),MSG!$J$10)</f>
        <v>HPS_IOA_21
HPS_IOB_21</v>
      </c>
      <c r="C418" s="90" t="s">
        <v>22</v>
      </c>
      <c r="D418" s="90" t="s">
        <v>22</v>
      </c>
      <c r="E418" s="173" t="str">
        <f>IF(var_OPN&lt;&gt;"",IF(varHasHPS="Yes",IF($C$26="Yes",IF($B$222="Yes",IFERROR(VLOOKUP(tblCHKHPSTRACE[[#This Row],[Pin Name]],tblHPS_TRACE,2,FALSE),MSG!$B$10),MSG!$L$20),MSG!$J$12),MSG!$J$11),MSG!$J$10)</f>
        <v>Trace Data 0. 
You can select up to 16 trace output pins in the Agilex 3 HPS. These pins do not have to be located in the same quadrant.</v>
      </c>
    </row>
    <row r="419" spans="1:5" ht="54.5" outlineLevel="2" thickBot="1">
      <c r="A419" s="81" t="s">
        <v>192</v>
      </c>
      <c r="B419" s="173" t="str">
        <f>IF(var_OPN&lt;&gt;"",IF(varHasHPS="Yes",IF($C$26="Yes",IF($B$222="Yes",IFERROR(VLOOKUP(tblCHKHPSTRACE[[#This Row],[Pin Name]],tblHPS_TRACE,4,FALSE),MSG!$B$10),MSG!$L$20),MSG!$J$12),MSG!$J$11),MSG!$J$10)</f>
        <v>HPS_IOA_22
HPS_IOB_22</v>
      </c>
      <c r="C419" s="90" t="s">
        <v>22</v>
      </c>
      <c r="D419" s="90" t="s">
        <v>22</v>
      </c>
      <c r="E419" s="173" t="str">
        <f>IF(var_OPN&lt;&gt;"",IF(varHasHPS="Yes",IF($C$26="Yes",IF($B$222="Yes",IFERROR(VLOOKUP(tblCHKHPSTRACE[[#This Row],[Pin Name]],tblHPS_TRACE,2,FALSE),MSG!$B$10),MSG!$L$20),MSG!$J$12),MSG!$J$11),MSG!$J$10)</f>
        <v>Trace Data 1. 
You can select up to 16 trace output pins in the Agilex 3 HPS. These pins do not have to be located in the same quadrant.</v>
      </c>
    </row>
    <row r="420" spans="1:5" ht="54.5" outlineLevel="2" thickBot="1">
      <c r="A420" s="81" t="s">
        <v>193</v>
      </c>
      <c r="B420" s="173" t="str">
        <f>IF(var_OPN&lt;&gt;"",IF(varHasHPS="Yes",IF($C$26="Yes",IF($B$222="Yes",IFERROR(VLOOKUP(tblCHKHPSTRACE[[#This Row],[Pin Name]],tblHPS_TRACE,4,FALSE),MSG!$B$10),MSG!$L$20),MSG!$J$12),MSG!$J$11),MSG!$J$10)</f>
        <v>HPS_IOA_23
HPS_IOB_23</v>
      </c>
      <c r="C420" s="90" t="s">
        <v>22</v>
      </c>
      <c r="D420" s="90" t="s">
        <v>22</v>
      </c>
      <c r="E420" s="173" t="str">
        <f>IF(var_OPN&lt;&gt;"",IF(varHasHPS="Yes",IF($C$26="Yes",IF($B$222="Yes",IFERROR(VLOOKUP(tblCHKHPSTRACE[[#This Row],[Pin Name]],tblHPS_TRACE,2,FALSE),MSG!$B$10),MSG!$L$20),MSG!$J$12),MSG!$J$11),MSG!$J$10)</f>
        <v>Trace Data 2. 
You can select up to 16 trace output pins in the Agilex 3 HPS. These pins do not have to be located in the same quadrant.</v>
      </c>
    </row>
    <row r="421" spans="1:5" ht="54.5" outlineLevel="2" thickBot="1">
      <c r="A421" s="81" t="s">
        <v>194</v>
      </c>
      <c r="B421" s="173" t="str">
        <f>IF(var_OPN&lt;&gt;"",IF(varHasHPS="Yes",IF($C$26="Yes",IF($B$222="Yes",IFERROR(VLOOKUP(tblCHKHPSTRACE[[#This Row],[Pin Name]],tblHPS_TRACE,4,FALSE),MSG!$B$10),MSG!$L$20),MSG!$J$12),MSG!$J$11),MSG!$J$10)</f>
        <v>HPS_IOA_24
HPS_IOB_24</v>
      </c>
      <c r="C421" s="90" t="s">
        <v>22</v>
      </c>
      <c r="D421" s="90" t="s">
        <v>22</v>
      </c>
      <c r="E421" s="173" t="str">
        <f>IF(var_OPN&lt;&gt;"",IF(varHasHPS="Yes",IF($C$26="Yes",IF($B$222="Yes",IFERROR(VLOOKUP(tblCHKHPSTRACE[[#This Row],[Pin Name]],tblHPS_TRACE,2,FALSE),MSG!$B$10),MSG!$L$20),MSG!$J$12),MSG!$J$11),MSG!$J$10)</f>
        <v>Trace Data 3. 
You can select up to 16 trace output pins in the Agilex 3 HPS. These pins do not have to be located in the same quadrant.</v>
      </c>
    </row>
    <row r="422" spans="1:5" ht="54.5" outlineLevel="2" collapsed="1" thickBot="1">
      <c r="A422" s="81" t="s">
        <v>195</v>
      </c>
      <c r="B422" s="173" t="str">
        <f>IF(var_OPN&lt;&gt;"",IF(varHasHPS="Yes",IF($C$26="Yes",IF($B$222="Yes",IFERROR(VLOOKUP(tblCHKHPSTRACE[[#This Row],[Pin Name]],tblHPS_TRACE,4,FALSE),MSG!$B$10),MSG!$L$20),MSG!$J$12),MSG!$J$11),MSG!$J$10)</f>
        <v>HPS_IOA_19
HPS_IOA_7
HPS_IOB_19
HPS_IOB_7</v>
      </c>
      <c r="C422" s="90" t="s">
        <v>22</v>
      </c>
      <c r="D422" s="90" t="s">
        <v>22</v>
      </c>
      <c r="E422" s="173" t="str">
        <f>IF(var_OPN&lt;&gt;"",IF(varHasHPS="Yes",IF($C$26="Yes",IF($B$222="Yes",IFERROR(VLOOKUP(tblCHKHPSTRACE[[#This Row],[Pin Name]],tblHPS_TRACE,2,FALSE),MSG!$B$10),MSG!$L$20),MSG!$J$12),MSG!$J$11),MSG!$J$10)</f>
        <v>Trace Data 4. 
You can select up to 16 trace output pins in the Agilex 3 HPS. These pins do not have to be located in the same quadrant.</v>
      </c>
    </row>
    <row r="423" spans="1:5" ht="54.5" outlineLevel="2" collapsed="1" thickBot="1">
      <c r="A423" s="81" t="s">
        <v>196</v>
      </c>
      <c r="B423" s="173" t="str">
        <f>IF(var_OPN&lt;&gt;"",IF(varHasHPS="Yes",IF($C$26="Yes",IF($B$222="Yes",IFERROR(VLOOKUP(tblCHKHPSTRACE[[#This Row],[Pin Name]],tblHPS_TRACE,4,FALSE),MSG!$B$10),MSG!$L$20),MSG!$J$12),MSG!$J$11),MSG!$J$10)</f>
        <v>HPS_IOA_18
HPS_IOA_6
HPS_IOB_18
HPS_IOB_6</v>
      </c>
      <c r="C423" s="90" t="s">
        <v>22</v>
      </c>
      <c r="D423" s="90" t="s">
        <v>22</v>
      </c>
      <c r="E423" s="173" t="str">
        <f>IF(var_OPN&lt;&gt;"",IF(varHasHPS="Yes",IF($C$26="Yes",IF($B$222="Yes",IFERROR(VLOOKUP(tblCHKHPSTRACE[[#This Row],[Pin Name]],tblHPS_TRACE,2,FALSE),MSG!$B$10),MSG!$L$20),MSG!$J$12),MSG!$J$11),MSG!$J$10)</f>
        <v>Trace Data 5. 
You can select up to 16 trace output pins in the Agilex 3 HPS. These pins do not have to be located in the same quadrant.</v>
      </c>
    </row>
    <row r="424" spans="1:5" s="91" customFormat="1" ht="54.5" outlineLevel="2" thickBot="1">
      <c r="A424" s="81" t="s">
        <v>197</v>
      </c>
      <c r="B424" s="173" t="str">
        <f>IF(var_OPN&lt;&gt;"",IF(varHasHPS="Yes",IF($C$26="Yes",IF($B$222="Yes",IFERROR(VLOOKUP(tblCHKHPSTRACE[[#This Row],[Pin Name]],tblHPS_TRACE,4,FALSE),MSG!$B$10),MSG!$L$20),MSG!$J$12),MSG!$J$11),MSG!$J$10)</f>
        <v>HPS_IOA_17
HPS_IOA_5
HPS_IOB_17
HPS_IOB_5</v>
      </c>
      <c r="C424" s="90" t="s">
        <v>22</v>
      </c>
      <c r="D424" s="90" t="s">
        <v>22</v>
      </c>
      <c r="E424" s="173" t="str">
        <f>IF(var_OPN&lt;&gt;"",IF(varHasHPS="Yes",IF($C$26="Yes",IF($B$222="Yes",IFERROR(VLOOKUP(tblCHKHPSTRACE[[#This Row],[Pin Name]],tblHPS_TRACE,2,FALSE),MSG!$B$10),MSG!$L$20),MSG!$J$12),MSG!$J$11),MSG!$J$10)</f>
        <v>Trace Data 6. 
You can select up to 16 trace output pins in the Agilex 3 HPS. These pins do not have to be located in the same quadrant.</v>
      </c>
    </row>
    <row r="425" spans="1:5" ht="54.5" outlineLevel="2" thickBot="1">
      <c r="A425" s="81" t="s">
        <v>198</v>
      </c>
      <c r="B425" s="173" t="str">
        <f>IF(var_OPN&lt;&gt;"",IF(varHasHPS="Yes",IF($C$26="Yes",IF($B$222="Yes",IFERROR(VLOOKUP(tblCHKHPSTRACE[[#This Row],[Pin Name]],tblHPS_TRACE,4,FALSE),MSG!$B$10),MSG!$L$20),MSG!$J$12),MSG!$J$11),MSG!$J$10)</f>
        <v>HPS_IOA_16
HPS_IOA_4
HPS_IOB_16
HPS_IOB_4</v>
      </c>
      <c r="C425" s="90" t="s">
        <v>22</v>
      </c>
      <c r="D425" s="90" t="s">
        <v>22</v>
      </c>
      <c r="E425" s="173" t="str">
        <f>IF(var_OPN&lt;&gt;"",IF(varHasHPS="Yes",IF($C$26="Yes",IF($B$222="Yes",IFERROR(VLOOKUP(tblCHKHPSTRACE[[#This Row],[Pin Name]],tblHPS_TRACE,2,FALSE),MSG!$B$10),MSG!$L$20),MSG!$J$12),MSG!$J$11),MSG!$J$10)</f>
        <v>Trace Data 7. 
You can select up to 16 trace output pins in the Agilex 3 HPS. These pins do not have to be located in the same quadrant.</v>
      </c>
    </row>
    <row r="426" spans="1:5" ht="54.5" outlineLevel="2" thickBot="1">
      <c r="A426" s="81" t="s">
        <v>199</v>
      </c>
      <c r="B426" s="173" t="str">
        <f>IF(var_OPN&lt;&gt;"",IF(varHasHPS="Yes",IF($C$26="Yes",IF($B$222="Yes",IFERROR(VLOOKUP(tblCHKHPSTRACE[[#This Row],[Pin Name]],tblHPS_TRACE,4,FALSE),MSG!$B$10),MSG!$L$20),MSG!$J$12),MSG!$J$11),MSG!$J$10)</f>
        <v>HPS_IOA_15
HPS_IOA_3
HPS_IOB_15
HPS_IOB_3</v>
      </c>
      <c r="C426" s="90" t="s">
        <v>22</v>
      </c>
      <c r="D426" s="90" t="s">
        <v>22</v>
      </c>
      <c r="E426" s="173" t="str">
        <f>IF(var_OPN&lt;&gt;"",IF(varHasHPS="Yes",IF($C$26="Yes",IF($B$222="Yes",IFERROR(VLOOKUP(tblCHKHPSTRACE[[#This Row],[Pin Name]],tblHPS_TRACE,2,FALSE),MSG!$B$10),MSG!$L$20),MSG!$J$12),MSG!$J$11),MSG!$J$10)</f>
        <v>Trace Data 8. 
You can select up to 16 trace output pins in the Agilex 3 HPS. These pins do not have to be located in the same quadrant.</v>
      </c>
    </row>
    <row r="427" spans="1:5" ht="54.5" outlineLevel="2" thickBot="1">
      <c r="A427" s="81" t="s">
        <v>200</v>
      </c>
      <c r="B427" s="173" t="str">
        <f>IF(var_OPN&lt;&gt;"",IF(varHasHPS="Yes",IF($C$26="Yes",IF($B$222="Yes",IFERROR(VLOOKUP(tblCHKHPSTRACE[[#This Row],[Pin Name]],tblHPS_TRACE,4,FALSE),MSG!$B$10),MSG!$L$20),MSG!$J$12),MSG!$J$11),MSG!$J$10)</f>
        <v>HPS_IOA_14
HPS_IOA_2
HPS_IOB_14
HPS_IOB_2</v>
      </c>
      <c r="C427" s="90" t="s">
        <v>22</v>
      </c>
      <c r="D427" s="90" t="s">
        <v>22</v>
      </c>
      <c r="E427" s="173" t="str">
        <f>IF(var_OPN&lt;&gt;"",IF(varHasHPS="Yes",IF($C$26="Yes",IF($B$222="Yes",IFERROR(VLOOKUP(tblCHKHPSTRACE[[#This Row],[Pin Name]],tblHPS_TRACE,2,FALSE),MSG!$B$10),MSG!$L$20),MSG!$J$12),MSG!$J$11),MSG!$J$10)</f>
        <v>Trace Data 9. 
You can select up to 16 trace output pins in the Agilex 3 HPS. These pins do not have to be located in the same quadrant.</v>
      </c>
    </row>
    <row r="428" spans="1:5" ht="54.5" outlineLevel="2" thickBot="1">
      <c r="A428" s="81" t="s">
        <v>201</v>
      </c>
      <c r="B428" s="173" t="str">
        <f>IF(var_OPN&lt;&gt;"",IF(varHasHPS="Yes",IF($C$26="Yes",IF($B$222="Yes",IFERROR(VLOOKUP(tblCHKHPSTRACE[[#This Row],[Pin Name]],tblHPS_TRACE,4,FALSE),MSG!$B$10),MSG!$L$20),MSG!$J$12),MSG!$J$11),MSG!$J$10)</f>
        <v>HPS_IOA_13
HPS_IOA_1
HPS_IOB_13
HPS_IOB_1</v>
      </c>
      <c r="C428" s="90" t="s">
        <v>22</v>
      </c>
      <c r="D428" s="90" t="s">
        <v>22</v>
      </c>
      <c r="E428" s="173" t="str">
        <f>IF(var_OPN&lt;&gt;"",IF(varHasHPS="Yes",IF($C$26="Yes",IF($B$222="Yes",IFERROR(VLOOKUP(tblCHKHPSTRACE[[#This Row],[Pin Name]],tblHPS_TRACE,2,FALSE),MSG!$B$10),MSG!$L$20),MSG!$J$12),MSG!$J$11),MSG!$J$10)</f>
        <v>Trace Data 10. 
You can select up to 16 trace output pins in the Agilex 3 HPS. These pins do not have to be located in the same quadrant.</v>
      </c>
    </row>
    <row r="429" spans="1:5" ht="54.5" outlineLevel="2" collapsed="1" thickBot="1">
      <c r="A429" s="81" t="s">
        <v>202</v>
      </c>
      <c r="B429" s="173" t="str">
        <f>IF(var_OPN&lt;&gt;"",IF(varHasHPS="Yes",IF($C$26="Yes",IF($B$222="Yes",IFERROR(VLOOKUP(tblCHKHPSTRACE[[#This Row],[Pin Name]],tblHPS_TRACE,4,FALSE),MSG!$B$10),MSG!$L$20),MSG!$J$12),MSG!$J$11),MSG!$J$10)</f>
        <v>HPS_IOA_12
HPS_IOB_12</v>
      </c>
      <c r="C429" s="90" t="s">
        <v>22</v>
      </c>
      <c r="D429" s="90" t="s">
        <v>22</v>
      </c>
      <c r="E429" s="173" t="str">
        <f>IF(var_OPN&lt;&gt;"",IF(varHasHPS="Yes",IF($C$26="Yes",IF($B$222="Yes",IFERROR(VLOOKUP(tblCHKHPSTRACE[[#This Row],[Pin Name]],tblHPS_TRACE,2,FALSE),MSG!$B$10),MSG!$L$20),MSG!$J$12),MSG!$J$11),MSG!$J$10)</f>
        <v>Trace Data 11. 
You can select up to 16 trace output pins in the Agilex 3 HPS. These pins do not have to be located in the same quadrant.</v>
      </c>
    </row>
    <row r="430" spans="1:5" ht="54.5" outlineLevel="2" thickBot="1">
      <c r="A430" s="81" t="s">
        <v>203</v>
      </c>
      <c r="B430" s="173" t="str">
        <f>IF(var_OPN&lt;&gt;"",IF(varHasHPS="Yes",IF($C$26="Yes",IF($B$222="Yes",IFERROR(VLOOKUP(tblCHKHPSTRACE[[#This Row],[Pin Name]],tblHPS_TRACE,4,FALSE),MSG!$B$10),MSG!$L$20),MSG!$J$12),MSG!$J$11),MSG!$J$10)</f>
        <v>HPS_IOA_11
HPS_IOB_11</v>
      </c>
      <c r="C430" s="90" t="s">
        <v>22</v>
      </c>
      <c r="D430" s="90" t="s">
        <v>22</v>
      </c>
      <c r="E430" s="173" t="str">
        <f>IF(var_OPN&lt;&gt;"",IF(varHasHPS="Yes",IF($C$26="Yes",IF($B$222="Yes",IFERROR(VLOOKUP(tblCHKHPSTRACE[[#This Row],[Pin Name]],tblHPS_TRACE,2,FALSE),MSG!$B$10),MSG!$L$20),MSG!$J$12),MSG!$J$11),MSG!$J$10)</f>
        <v>Trace Data 12. 
You can select up to 16 trace output pins in the Agilex 3 HPS. These pins do not have to be located in the same quadrant.</v>
      </c>
    </row>
    <row r="431" spans="1:5" ht="54.5" outlineLevel="2" thickBot="1">
      <c r="A431" s="81" t="s">
        <v>204</v>
      </c>
      <c r="B431" s="173" t="str">
        <f>IF(var_OPN&lt;&gt;"",IF(varHasHPS="Yes",IF($C$26="Yes",IF($B$222="Yes",IFERROR(VLOOKUP(tblCHKHPSTRACE[[#This Row],[Pin Name]],tblHPS_TRACE,4,FALSE),MSG!$B$10),MSG!$L$20),MSG!$J$12),MSG!$J$11),MSG!$J$10)</f>
        <v>HPS_IOA_10
HPS_IOB_10</v>
      </c>
      <c r="C431" s="90" t="s">
        <v>22</v>
      </c>
      <c r="D431" s="90" t="s">
        <v>22</v>
      </c>
      <c r="E431" s="173" t="str">
        <f>IF(var_OPN&lt;&gt;"",IF(varHasHPS="Yes",IF($C$26="Yes",IF($B$222="Yes",IFERROR(VLOOKUP(tblCHKHPSTRACE[[#This Row],[Pin Name]],tblHPS_TRACE,2,FALSE),MSG!$B$10),MSG!$L$20),MSG!$J$12),MSG!$J$11),MSG!$J$10)</f>
        <v>Trace Data 13. 
You can select up to 16 trace output pins in the Agilex 3 HPS. These pins do not have to be located in the same quadrant.</v>
      </c>
    </row>
    <row r="432" spans="1:5" ht="54.5" outlineLevel="2" thickBot="1">
      <c r="A432" s="81" t="s">
        <v>205</v>
      </c>
      <c r="B432" s="173" t="str">
        <f>IF(var_OPN&lt;&gt;"",IF(varHasHPS="Yes",IF($C$26="Yes",IF($B$222="Yes",IFERROR(VLOOKUP(tblCHKHPSTRACE[[#This Row],[Pin Name]],tblHPS_TRACE,4,FALSE),MSG!$B$10),MSG!$L$20),MSG!$J$12),MSG!$J$11),MSG!$J$10)</f>
        <v>HPS_IOA_9
HPS_IOB_9</v>
      </c>
      <c r="C432" s="90" t="s">
        <v>22</v>
      </c>
      <c r="D432" s="90" t="s">
        <v>22</v>
      </c>
      <c r="E432" s="173" t="str">
        <f>IF(var_OPN&lt;&gt;"",IF(varHasHPS="Yes",IF($C$26="Yes",IF($B$222="Yes",IFERROR(VLOOKUP(tblCHKHPSTRACE[[#This Row],[Pin Name]],tblHPS_TRACE,2,FALSE),MSG!$B$10),MSG!$L$20),MSG!$J$12),MSG!$J$11),MSG!$J$10)</f>
        <v>Trace Data 14. 
You can select up to 16 trace output pins in the Agilex 3 HPS. These pins do not have to be located in the same quadrant.</v>
      </c>
    </row>
    <row r="433" spans="1:5" ht="54.5" outlineLevel="2" collapsed="1" thickBot="1">
      <c r="A433" s="81" t="s">
        <v>206</v>
      </c>
      <c r="B433" s="173" t="str">
        <f>IF(var_OPN&lt;&gt;"",IF(varHasHPS="Yes",IF($C$26="Yes",IF($B$222="Yes",IFERROR(VLOOKUP(tblCHKHPSTRACE[[#This Row],[Pin Name]],tblHPS_TRACE,4,FALSE),MSG!$B$10),MSG!$L$20),MSG!$J$12),MSG!$J$11),MSG!$J$10)</f>
        <v>HPS_IOA_8
HPS_IOB_8</v>
      </c>
      <c r="C433" s="90" t="s">
        <v>22</v>
      </c>
      <c r="D433" s="90" t="s">
        <v>22</v>
      </c>
      <c r="E433" s="173" t="str">
        <f>IF(var_OPN&lt;&gt;"",IF(varHasHPS="Yes",IF($C$26="Yes",IF($B$222="Yes",IFERROR(VLOOKUP(tblCHKHPSTRACE[[#This Row],[Pin Name]],tblHPS_TRACE,2,FALSE),MSG!$B$10),MSG!$L$20),MSG!$J$12),MSG!$J$11),MSG!$J$10)</f>
        <v>Trace Data 15. 
You can select up to 16 trace output pins in the Agilex 3 HPS. These pins do not have to be located in the same quadrant.</v>
      </c>
    </row>
    <row r="434" spans="1:5" outlineLevel="1"/>
    <row r="437" spans="1:5" ht="14" thickBot="1">
      <c r="A437" s="82" t="s">
        <v>207</v>
      </c>
      <c r="B437" s="172"/>
      <c r="C437" s="82"/>
      <c r="D437" s="82"/>
      <c r="E437" s="172"/>
    </row>
    <row r="438" spans="1:5" ht="14" outlineLevel="1" thickBot="1">
      <c r="A438" s="83" t="s">
        <v>30</v>
      </c>
      <c r="B438" s="83" t="s">
        <v>31</v>
      </c>
      <c r="C438" s="83" t="s">
        <v>32</v>
      </c>
      <c r="D438" s="83" t="s">
        <v>33</v>
      </c>
      <c r="E438" s="83" t="s">
        <v>34</v>
      </c>
    </row>
    <row r="439" spans="1:5" ht="54.5" outlineLevel="1" thickBot="1">
      <c r="A439" s="81" t="s">
        <v>317</v>
      </c>
      <c r="B439" s="173" t="str">
        <f>IFERROR(VLOOKUP(tblCHKNC[[#This Row],[Pin Name]],tblDNUNC[],4,FALSE),MSG!$B$10)</f>
        <v>When designing for device migration, you have the option to connect these pins to either power, GND, or a signal trace depending on the pin assignment of the devices selected for migration.
However, if device migration is not a concern, leave these pins floating.</v>
      </c>
      <c r="C439" s="96" t="s">
        <v>16</v>
      </c>
      <c r="D439" s="96" t="s">
        <v>16</v>
      </c>
      <c r="E439" s="173" t="str">
        <f>IFERROR(VLOOKUP(tblCHKNC[[#This Row],[Pin Name]],tblDNUNC[],3,FALSE),MSG!$B$10)</f>
        <v>Do not drive signals into these pins.</v>
      </c>
    </row>
    <row r="440" spans="1:5" ht="14" outlineLevel="1" thickBot="1">
      <c r="A440" s="81" t="s">
        <v>208</v>
      </c>
      <c r="B440" s="173" t="str">
        <f>IFERROR(VLOOKUP(tblCHKNC[[#This Row],[Pin Name]],tblDNUNC[],4,FALSE),MSG!$B$10)</f>
        <v>Do not connect to power, GND, or any other signal. These pins must be left floating.</v>
      </c>
      <c r="C440" s="96" t="s">
        <v>16</v>
      </c>
      <c r="D440" s="96" t="s">
        <v>16</v>
      </c>
      <c r="E440" s="173" t="str">
        <f>IFERROR(VLOOKUP(tblCHKNC[[#This Row],[Pin Name]],tblDNUNC[],3,FALSE),MSG!$B$10)</f>
        <v>Do Not Use (DNU).</v>
      </c>
    </row>
    <row r="443" spans="1:5" collapsed="1">
      <c r="A443" s="82" t="s">
        <v>209</v>
      </c>
      <c r="B443" s="172"/>
      <c r="C443" s="82"/>
      <c r="D443" s="82"/>
      <c r="E443" s="172"/>
    </row>
    <row r="444" spans="1:5" ht="14.5" hidden="1" outlineLevel="1">
      <c r="A444" s="169" t="s">
        <v>1092</v>
      </c>
    </row>
    <row r="445" spans="1:5" ht="14.5" hidden="1" outlineLevel="1">
      <c r="A445" s="169" t="s">
        <v>1093</v>
      </c>
      <c r="C445" s="85"/>
      <c r="D445" s="85"/>
    </row>
    <row r="446" spans="1:5" ht="14.5" hidden="1" outlineLevel="1">
      <c r="A446" s="185" t="s">
        <v>1094</v>
      </c>
      <c r="C446" s="85"/>
      <c r="D446" s="85"/>
    </row>
    <row r="447" spans="1:5" ht="14.5" hidden="1" outlineLevel="1">
      <c r="A447" t="s">
        <v>1095</v>
      </c>
      <c r="C447" s="85"/>
      <c r="D447" s="85"/>
    </row>
    <row r="448" spans="1:5" ht="14.5" hidden="1" outlineLevel="1">
      <c r="A448" s="212" t="s">
        <v>1096</v>
      </c>
      <c r="C448" s="85"/>
      <c r="D448" s="85"/>
    </row>
    <row r="449" spans="1:4" ht="14.5" hidden="1" outlineLevel="1">
      <c r="A449" s="212" t="s">
        <v>1097</v>
      </c>
      <c r="C449" s="85"/>
      <c r="D449" s="85"/>
    </row>
    <row r="450" spans="1:4" ht="14.5" hidden="1" outlineLevel="1">
      <c r="A450" t="s">
        <v>1098</v>
      </c>
      <c r="C450" s="85"/>
      <c r="D450" s="85"/>
    </row>
    <row r="451" spans="1:4" ht="14.5" hidden="1" outlineLevel="1">
      <c r="A451" t="s">
        <v>1101</v>
      </c>
      <c r="C451" s="85"/>
      <c r="D451" s="85"/>
    </row>
    <row r="452" spans="1:4" ht="14.5" hidden="1" outlineLevel="1">
      <c r="A452" s="212" t="s">
        <v>1099</v>
      </c>
      <c r="C452" s="85"/>
      <c r="D452" s="85"/>
    </row>
    <row r="453" spans="1:4" ht="14.5" hidden="1" outlineLevel="1">
      <c r="A453" t="s">
        <v>1100</v>
      </c>
      <c r="C453" s="85"/>
      <c r="D453" s="85"/>
    </row>
    <row r="454" spans="1:4" hidden="1" outlineLevel="1">
      <c r="C454" s="85"/>
      <c r="D454" s="85"/>
    </row>
    <row r="455" spans="1:4" ht="14.5" collapsed="1">
      <c r="A455" s="169"/>
      <c r="C455" s="85"/>
      <c r="D455" s="85"/>
    </row>
    <row r="456" spans="1:4" ht="14.5">
      <c r="A456" s="169"/>
      <c r="C456" s="85"/>
      <c r="D456" s="85"/>
    </row>
    <row r="457" spans="1:4">
      <c r="A457" s="125"/>
      <c r="C457" s="85"/>
      <c r="D457" s="85"/>
    </row>
    <row r="458" spans="1:4">
      <c r="A458" s="125"/>
      <c r="C458" s="85"/>
      <c r="D458" s="85"/>
    </row>
    <row r="459" spans="1:4" collapsed="1">
      <c r="A459" s="125"/>
      <c r="C459" s="85"/>
      <c r="D459" s="85"/>
    </row>
    <row r="460" spans="1:4">
      <c r="A460" s="125"/>
      <c r="C460" s="85"/>
      <c r="D460" s="85"/>
    </row>
    <row r="461" spans="1:4">
      <c r="A461" s="125"/>
      <c r="C461" s="85"/>
      <c r="D461" s="85"/>
    </row>
    <row r="462" spans="1:4">
      <c r="A462" s="125"/>
    </row>
    <row r="463" spans="1:4">
      <c r="A463" s="126"/>
    </row>
    <row r="464" spans="1:4">
      <c r="A464" s="126"/>
    </row>
  </sheetData>
  <sheetProtection algorithmName="SHA-512" hashValue="QdFAEF3IoRouh1HJHDIyETKIWJXAcMbNXDeH7IA58XMEFK+HhTelUgy//3FQeRXOoqmoeqR3aqlpR2vmU2/qOw==" saltValue="qBxQekH4Tqdn18mLf58Y3g==" spinCount="100000" sheet="1" objects="1" scenarios="1" formatColumns="0" formatRows="0" autoFilter="0"/>
  <dataConsolidate function="stdDevp"/>
  <mergeCells count="3">
    <mergeCell ref="C32:D32"/>
    <mergeCell ref="A12:H12"/>
    <mergeCell ref="A13:H13"/>
  </mergeCells>
  <phoneticPr fontId="1" type="noConversion"/>
  <conditionalFormatting sqref="B212:B222">
    <cfRule type="cellIs" dxfId="514" priority="413" operator="equal">
      <formula>"Not Available"</formula>
    </cfRule>
  </conditionalFormatting>
  <conditionalFormatting sqref="B131">
    <cfRule type="expression" dxfId="513" priority="155">
      <formula>IF($C$22="No",1,0)</formula>
    </cfRule>
    <cfRule type="cellIs" dxfId="512" priority="156" operator="equal">
      <formula>"Not Available"</formula>
    </cfRule>
  </conditionalFormatting>
  <conditionalFormatting sqref="B73:B79">
    <cfRule type="containsText" priority="423" stopIfTrue="1" operator="containsText" text="Unused">
      <formula>NOT(ISERROR(SEARCH("Unused",B73)))</formula>
    </cfRule>
    <cfRule type="duplicateValues" dxfId="511" priority="424"/>
  </conditionalFormatting>
  <dataValidations count="14">
    <dataValidation type="list" allowBlank="1" showInputMessage="1" showErrorMessage="1" sqref="C22 C24 B131 B176:B178 C26 B212 B213 B214 B215 B216 B217 B218 B219 B220 B221 B222" xr:uid="{908176B3-DF1C-4A7E-AD96-3DC2B4F6A08F}">
      <formula1>"Yes,No"</formula1>
    </dataValidation>
    <dataValidation type="list" allowBlank="1" showInputMessage="1" showErrorMessage="1" sqref="C20" xr:uid="{8668D0B2-A7F8-417E-A079-8353B6F453CC}">
      <formula1>"None,Voltage,Temperature,Both Voltage and Temperature"</formula1>
    </dataValidation>
    <dataValidation showInputMessage="1" showErrorMessage="1" sqref="B27" xr:uid="{35E16A87-8A70-424A-AA64-0F3D46C7CBEE}"/>
    <dataValidation type="list" allowBlank="1" showInputMessage="1" showErrorMessage="1" promptTitle="Note" prompt="The preset is just to help save you some time of manual input, but you still need to check and modify SDM_IO assignment for each signals below." sqref="B72" xr:uid="{54170593-CF9C-49B3-8A9F-E2AD10A5174E}">
      <formula1>INDIRECT($C$18)</formula1>
    </dataValidation>
    <dataValidation type="list" allowBlank="1" showInputMessage="1" showErrorMessage="1" sqref="B33" xr:uid="{78FA4249-CD86-42DE-A3A3-826A121D7547}">
      <formula1>"Thick PCB,Thin PCB"</formula1>
    </dataValidation>
    <dataValidation type="list" allowBlank="1" showInputMessage="1" showErrorMessage="1" sqref="D439:D440 D225 D229:D232 D236:D237 D241:D254 D258:D281 D285:D308 D312:D365 D369:D372 D385:D402 D406:D413 D417:D433 D122:D126 D82:D110 D115:D117 D181:D192 D158:D171 D138 D142 D146:D152 D134 D195:D207 D376:D381 D35:D57 D62 D64:D65" xr:uid="{2861A2C0-DCAB-4C1A-B725-5A7FBA299B64}">
      <formula1>lstStatus</formula1>
    </dataValidation>
    <dataValidation allowBlank="1" showErrorMessage="1" promptTitle="Notification" prompt="PWRMGT_SCL and PWRMGT_SDA output pin MUSB be both confgiured together." sqref="B80" xr:uid="{0DE22B5B-3BA0-4F3C-BCF7-2C4130FAC03F}"/>
    <dataValidation type="list" allowBlank="1" showInputMessage="1" showErrorMessage="1" promptTitle="Hint" prompt="This pin is for catastrophic trip due to over temperature." sqref="B79" xr:uid="{D71EB37C-7A04-4D70-BACE-399AAD809A4C}">
      <formula1>_xlfn.ANCHORARRAY(INDIRECT(VLOOKUP($A79,vltSDMIO,2,FALSE)))</formula1>
    </dataValidation>
    <dataValidation type="list" allowBlank="1" showInputMessage="1" showErrorMessage="1" promptTitle="Hint" prompt="Use this pin if you want to see whether FPGA configuration has completed." sqref="B73" xr:uid="{E256492F-6038-4739-B855-70C8FAD853FE}">
      <formula1>_xlfn.ANCHORARRAY(INDIRECT(VLOOKUP($A73,vltSDMIO,2,FALSE)))</formula1>
    </dataValidation>
    <dataValidation type="list" allowBlank="1" showInputMessage="1" showErrorMessage="1" promptTitle="Hint" prompt="Use this pin if you want to see whether FPGA has entered user mode." sqref="B74" xr:uid="{E4589F5A-7F16-4B96-A0A1-02369A4023E7}">
      <formula1>_xlfn.ANCHORARRAY(INDIRECT(VLOOKUP($A74,vltSDMIO,2,FALSE)))</formula1>
    </dataValidation>
    <dataValidation type="list" allowBlank="1" showInputMessage="1" showErrorMessage="1" promptTitle="Hint" prompt="Use this pin if you are using CvP feature." sqref="B75" xr:uid="{EA7B4604-D659-49D5-9F54-9B4FD43F903D}">
      <formula1>_xlfn.ANCHORARRAY(INDIRECT(VLOOKUP($A75,vltSDMIO,2,FALSE)))</formula1>
    </dataValidation>
    <dataValidation type="list" allowBlank="1" showInputMessage="1" showErrorMessage="1" promptTitle="Hint" prompt="Use this pin if you want to flag a SEU error." sqref="B76" xr:uid="{A30B0BB2-D45D-4F10-8AFD-0277E13BCAD9}">
      <formula1>_xlfn.ANCHORARRAY(INDIRECT(VLOOKUP($A76,vltSDMIO,2,FALSE)))</formula1>
    </dataValidation>
    <dataValidation type="list" allowBlank="1" showInputMessage="1" showErrorMessage="1" promptTitle="Hint" prompt="Use this pin if you want to cold reset HPS." sqref="B77" xr:uid="{06CCA767-46D2-443B-8D22-95B7633EE7F7}">
      <formula1>_xlfn.ANCHORARRAY(INDIRECT(VLOOKUP($A77,vltSDMIO,2,FALSE)))</formula1>
    </dataValidation>
    <dataValidation type="list" allowBlank="1" showInputMessage="1" showErrorMessage="1" promptTitle="Hint" prompt="Use this pin if you are using RSU feature and want to boot up to Factory Image directly." sqref="B78" xr:uid="{875CA1E9-F2C0-41D7-AE5D-D3ED67F47146}">
      <formula1>_xlfn.ANCHORARRAY(INDIRECT(VLOOKUP($A78,vltSDMIO,2,FALSE)))</formula1>
    </dataValidation>
  </dataValidations>
  <hyperlinks>
    <hyperlink ref="A445" r:id="rId1" xr:uid="{1207020F-AD10-40BB-9723-2E57F5FEF53C}"/>
    <hyperlink ref="A444" r:id="rId2" xr:uid="{B37D791A-49B1-4DCC-BDCE-26892EF6FAFE}"/>
    <hyperlink ref="A446" r:id="rId3" xr:uid="{2D86875C-8548-428B-87B1-E94C21683AC0}"/>
    <hyperlink ref="A448" r:id="rId4" xr:uid="{B3FAD10B-A810-43A4-ADD9-D52846AB42AF}"/>
    <hyperlink ref="A449" r:id="rId5" xr:uid="{139A68A2-2BD3-4A81-8329-5D41A5301F5D}"/>
    <hyperlink ref="A452" r:id="rId6" xr:uid="{50C81332-68BA-455E-833B-BC0095BFB42A}"/>
  </hyperlinks>
  <pageMargins left="0.7" right="0.7" top="0.75" bottom="0.75" header="0.3" footer="0.3"/>
  <pageSetup orientation="portrait" r:id="rId7"/>
  <ignoredErrors>
    <ignoredError sqref="E105 E94:E95" calculatedColumn="1"/>
  </ignoredErrors>
  <drawing r:id="rId8"/>
  <legacyDrawing r:id="rId9"/>
  <controls>
    <mc:AlternateContent xmlns:mc="http://schemas.openxmlformats.org/markup-compatibility/2006">
      <mc:Choice Requires="x14">
        <control shapeId="4106" r:id="rId10" name="CommandButton3">
          <controlPr locked="0" defaultSize="0" autoFill="0" autoLine="0" altText="" r:id="rId11">
            <anchor moveWithCells="1">
              <from>
                <xdr:col>4</xdr:col>
                <xdr:colOff>260350</xdr:colOff>
                <xdr:row>24</xdr:row>
                <xdr:rowOff>69850</xdr:rowOff>
              </from>
              <to>
                <xdr:col>5</xdr:col>
                <xdr:colOff>1143000</xdr:colOff>
                <xdr:row>26</xdr:row>
                <xdr:rowOff>88900</xdr:rowOff>
              </to>
            </anchor>
          </controlPr>
        </control>
      </mc:Choice>
      <mc:Fallback>
        <control shapeId="4106" r:id="rId10" name="CommandButton3"/>
      </mc:Fallback>
    </mc:AlternateContent>
    <mc:AlternateContent xmlns:mc="http://schemas.openxmlformats.org/markup-compatibility/2006">
      <mc:Choice Requires="x14">
        <control shapeId="4105" r:id="rId12" name="CommandButton2">
          <controlPr locked="0" defaultSize="0" autoFill="0" autoLine="0" altText="" r:id="rId13">
            <anchor moveWithCells="1">
              <from>
                <xdr:col>4</xdr:col>
                <xdr:colOff>2889250</xdr:colOff>
                <xdr:row>22</xdr:row>
                <xdr:rowOff>12700</xdr:rowOff>
              </from>
              <to>
                <xdr:col>5</xdr:col>
                <xdr:colOff>1149350</xdr:colOff>
                <xdr:row>24</xdr:row>
                <xdr:rowOff>31750</xdr:rowOff>
              </to>
            </anchor>
          </controlPr>
        </control>
      </mc:Choice>
      <mc:Fallback>
        <control shapeId="4105" r:id="rId12" name="CommandButton2"/>
      </mc:Fallback>
    </mc:AlternateContent>
    <mc:AlternateContent xmlns:mc="http://schemas.openxmlformats.org/markup-compatibility/2006">
      <mc:Choice Requires="x14">
        <control shapeId="4103" r:id="rId14" name="CommandButton1">
          <controlPr locked="0" defaultSize="0" autoFill="0" autoLine="0" altText="" r:id="rId15">
            <anchor moveWithCells="1">
              <from>
                <xdr:col>4</xdr:col>
                <xdr:colOff>254000</xdr:colOff>
                <xdr:row>22</xdr:row>
                <xdr:rowOff>12700</xdr:rowOff>
              </from>
              <to>
                <xdr:col>4</xdr:col>
                <xdr:colOff>2616200</xdr:colOff>
                <xdr:row>24</xdr:row>
                <xdr:rowOff>31750</xdr:rowOff>
              </to>
            </anchor>
          </controlPr>
        </control>
      </mc:Choice>
      <mc:Fallback>
        <control shapeId="4103" r:id="rId14" name="CommandButton1"/>
      </mc:Fallback>
    </mc:AlternateContent>
  </controls>
  <tableParts count="2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extLst>
    <ext xmlns:x14="http://schemas.microsoft.com/office/spreadsheetml/2009/9/main" uri="{78C0D931-6437-407d-A8EE-F0AAD7539E65}">
      <x14:conditionalFormattings>
        <x14:conditionalFormatting xmlns:xm="http://schemas.microsoft.com/office/excel/2006/main">
          <x14:cfRule type="cellIs" priority="219" operator="equal" id="{15577037-D58F-45BE-9707-32F2DBBF3B99}">
            <xm:f>MSG!$D$71</xm:f>
            <x14:dxf>
              <fill>
                <patternFill>
                  <bgColor rgb="FFFEC91B"/>
                </patternFill>
              </fill>
            </x14:dxf>
          </x14:cfRule>
          <x14:cfRule type="cellIs" priority="220" operator="equal" id="{91B565BE-5C2E-4795-AAA7-6AC341861CC7}">
            <xm:f>MSG!$D$70</xm:f>
            <x14:dxf>
              <font>
                <b/>
                <i val="0"/>
                <color auto="1"/>
              </font>
              <fill>
                <patternFill patternType="solid">
                  <bgColor rgb="FF8BAE46"/>
                </patternFill>
              </fill>
            </x14:dxf>
          </x14:cfRule>
          <xm:sqref>C32</xm:sqref>
        </x14:conditionalFormatting>
        <x14:conditionalFormatting xmlns:xm="http://schemas.microsoft.com/office/excel/2006/main">
          <x14:cfRule type="containsText" priority="29" operator="containsText" id="{EBB8AB52-3B47-4815-8E2A-DD3273ECD6E6}">
            <xm:f>NOT(ISERROR(SEARCH($F$18,C1)))</xm:f>
            <xm:f>$F$18</xm:f>
            <x14:dxf>
              <fill>
                <patternFill>
                  <bgColor rgb="FFFFC000"/>
                </patternFill>
              </fill>
            </x14:dxf>
          </x14:cfRule>
          <x14:cfRule type="containsText" priority="418" operator="containsText" id="{983A272F-2304-48B8-9681-1F1363C2A056}">
            <xm:f>NOT(ISERROR(SEARCH($F$21,C1)))</xm:f>
            <xm:f>$F$21</xm:f>
            <x14:dxf>
              <fill>
                <patternFill>
                  <bgColor theme="0" tint="-0.34998626667073579"/>
                </patternFill>
              </fill>
            </x14:dxf>
          </x14:cfRule>
          <x14:cfRule type="containsText" priority="419" operator="containsText" id="{47B2E799-20D0-4669-AB69-CEA95881641D}">
            <xm:f>NOT(ISERROR(SEARCH($F$20,C1)))</xm:f>
            <xm:f>$F$20</xm:f>
            <x14:dxf>
              <fill>
                <patternFill>
                  <bgColor theme="0" tint="-0.34998626667073579"/>
                </patternFill>
              </fill>
            </x14:dxf>
          </x14:cfRule>
          <x14:cfRule type="containsText" priority="420" operator="containsText" id="{1066201B-F09B-41DD-99E0-E83254B1AD38}">
            <xm:f>NOT(ISERROR(SEARCH($F$19,C1)))</xm:f>
            <xm:f>$F$19</xm:f>
            <x14:dxf>
              <fill>
                <patternFill>
                  <bgColor rgb="FFFFC000"/>
                </patternFill>
              </fill>
            </x14:dxf>
          </x14:cfRule>
          <x14:cfRule type="containsText" priority="421" operator="containsText" id="{43BF38A3-7A13-4B61-ABCA-154A82610B3E}">
            <xm:f>NOT(ISERROR(SEARCH($F$17,C1)))</xm:f>
            <xm:f>$F$17</xm:f>
            <x14:dxf>
              <fill>
                <patternFill>
                  <bgColor rgb="FFC00000"/>
                </patternFill>
              </fill>
            </x14:dxf>
          </x14:cfRule>
          <x14:cfRule type="containsText" priority="422" operator="containsText" id="{B781288D-9089-4BE9-8D41-7B5D0755CC73}">
            <xm:f>NOT(ISERROR(SEARCH($F$16,C1)))</xm:f>
            <xm:f>$F$16</xm:f>
            <x14:dxf>
              <fill>
                <patternFill>
                  <bgColor rgb="FF92D050"/>
                </patternFill>
              </fill>
            </x14:dxf>
          </x14:cfRule>
          <xm:sqref>D1:D10 D16:D28 D233:D234 D238:D239 D255:D256 D282:D283 D309:D310 D366:D367 D382:D383 D403:D404 D414:D415 D33 D373:D374 E22:F22 D82:D112 D454:D1048576 D434:D437 D31 D444 D439:D442 D211:D223 D158:D173 D130:D132 D122:D128 D115:D119 D134:D136 D138:D140 D142:D144 D146:D155 D181:D193 D225:D227 D35:D59 D61:D68 C73:D74 D195:D209 D175:D179</xm:sqref>
        </x14:conditionalFormatting>
        <x14:conditionalFormatting xmlns:xm="http://schemas.microsoft.com/office/excel/2006/main">
          <x14:cfRule type="containsText" priority="17" operator="containsText" id="{319CDF9A-6739-4678-9046-CCCF296D2C0C}">
            <xm:f>NOT(ISERROR(SEARCH($F$18,E75)))</xm:f>
            <xm:f>$F$18</xm:f>
            <x14:dxf>
              <fill>
                <patternFill>
                  <bgColor rgb="FFFFC000"/>
                </patternFill>
              </fill>
            </x14:dxf>
          </x14:cfRule>
          <x14:cfRule type="containsText" priority="18" operator="containsText" id="{B35464B9-BCBF-44D7-906F-C2B8D1EC69B9}">
            <xm:f>NOT(ISERROR(SEARCH($F$21,E75)))</xm:f>
            <xm:f>$F$21</xm:f>
            <x14:dxf>
              <fill>
                <patternFill>
                  <bgColor theme="0" tint="-0.34998626667073579"/>
                </patternFill>
              </fill>
            </x14:dxf>
          </x14:cfRule>
          <x14:cfRule type="containsText" priority="19" operator="containsText" id="{3864E95D-06B7-434E-B72B-8E39D165EA7D}">
            <xm:f>NOT(ISERROR(SEARCH($F$20,E75)))</xm:f>
            <xm:f>$F$20</xm:f>
            <x14:dxf>
              <fill>
                <patternFill>
                  <bgColor theme="0" tint="-0.34998626667073579"/>
                </patternFill>
              </fill>
            </x14:dxf>
          </x14:cfRule>
          <x14:cfRule type="containsText" priority="20" operator="containsText" id="{D0AE3A2B-1FD7-436C-A454-4BD182F27E71}">
            <xm:f>NOT(ISERROR(SEARCH($F$19,E75)))</xm:f>
            <xm:f>$F$19</xm:f>
            <x14:dxf>
              <fill>
                <patternFill>
                  <bgColor rgb="FFFFC000"/>
                </patternFill>
              </fill>
            </x14:dxf>
          </x14:cfRule>
          <x14:cfRule type="containsText" priority="21" operator="containsText" id="{6511417E-C651-411E-ABE8-9B7839D15EC5}">
            <xm:f>NOT(ISERROR(SEARCH($F$17,E75)))</xm:f>
            <xm:f>$F$17</xm:f>
            <x14:dxf>
              <fill>
                <patternFill>
                  <bgColor rgb="FFC00000"/>
                </patternFill>
              </fill>
            </x14:dxf>
          </x14:cfRule>
          <x14:cfRule type="containsText" priority="22" operator="containsText" id="{70F6FE5C-A506-4944-BFB5-0A5AEB370CF1}">
            <xm:f>NOT(ISERROR(SEARCH($F$16,E75)))</xm:f>
            <xm:f>$F$16</xm:f>
            <x14:dxf>
              <fill>
                <patternFill>
                  <bgColor rgb="FF92D050"/>
                </patternFill>
              </fill>
            </x14:dxf>
          </x14:cfRule>
          <xm:sqref>E75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BEB058C-451C-451B-8580-1D6C6E293A47}">
          <x14:formula1>
            <xm:f>SDMIO_ref!$K$3:$M$3</xm:f>
          </x14:formula1>
          <xm:sqref>C18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C95C3-42D8-498E-A800-F40872291703}">
  <sheetPr codeName="Sheet22">
    <tabColor rgb="FF9BBB59"/>
  </sheetPr>
  <dimension ref="A1:C10"/>
  <sheetViews>
    <sheetView showGridLines="0" showRowColHeaders="0" zoomScaleNormal="100" workbookViewId="0">
      <selection activeCell="B11" sqref="B11"/>
    </sheetView>
  </sheetViews>
  <sheetFormatPr defaultColWidth="8.81640625" defaultRowHeight="13.5"/>
  <cols>
    <col min="1" max="1" width="11.1796875" style="69" customWidth="1"/>
    <col min="2" max="2" width="94.1796875" style="69" customWidth="1"/>
    <col min="3" max="3" width="21.81640625" style="69" customWidth="1"/>
    <col min="4" max="16384" width="8.81640625" style="69"/>
  </cols>
  <sheetData>
    <row r="1" spans="1:3" ht="58" customHeight="1">
      <c r="A1" s="71"/>
      <c r="B1" s="265" t="s">
        <v>922</v>
      </c>
      <c r="C1" s="265"/>
    </row>
    <row r="3" spans="1:3" ht="20.149999999999999" customHeight="1">
      <c r="A3" s="79" t="s">
        <v>869</v>
      </c>
      <c r="B3" s="79" t="s">
        <v>740</v>
      </c>
      <c r="C3" s="79" t="s">
        <v>0</v>
      </c>
    </row>
    <row r="4" spans="1:3" ht="20.149999999999999" customHeight="1">
      <c r="A4" s="203">
        <v>1.1000000000000001</v>
      </c>
      <c r="B4" s="204" t="s">
        <v>1497</v>
      </c>
      <c r="C4" s="205" t="s">
        <v>1498</v>
      </c>
    </row>
    <row r="5" spans="1:3" ht="16" customHeight="1">
      <c r="A5" s="209">
        <v>1</v>
      </c>
      <c r="B5" s="210" t="s">
        <v>870</v>
      </c>
      <c r="C5" s="211" t="s">
        <v>1499</v>
      </c>
    </row>
    <row r="6" spans="1:3">
      <c r="A6" s="206"/>
      <c r="B6" s="207"/>
      <c r="C6" s="208"/>
    </row>
    <row r="7" spans="1:3" ht="169.5" customHeight="1">
      <c r="B7" s="266" t="s">
        <v>1505</v>
      </c>
      <c r="C7" s="266"/>
    </row>
    <row r="8" spans="1:3">
      <c r="B8" s="70"/>
    </row>
    <row r="9" spans="1:3">
      <c r="B9" s="70"/>
    </row>
    <row r="10" spans="1:3">
      <c r="B10" s="70"/>
    </row>
  </sheetData>
  <sheetProtection algorithmName="SHA-512" hashValue="DAz+ELm50v3gswItugzjJEeV8UkGVHncuhTO12YDZdASKTfqRNt8jY9X6j26kdK4hMrehDbtRGvMEsh6KVANyQ==" saltValue="3WDIg+7YY7D4K/gP4Mq20Q==" spinCount="100000" sheet="1" selectLockedCells="1" selectUnlockedCells="1"/>
  <mergeCells count="2">
    <mergeCell ref="B1:C1"/>
    <mergeCell ref="B7:C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0AC91-10D3-46CF-ACD2-8AF7CA8BBBA2}">
  <sheetPr codeName="Sheet18"/>
  <dimension ref="A1:W50"/>
  <sheetViews>
    <sheetView zoomScale="55" zoomScaleNormal="55" workbookViewId="0">
      <selection activeCell="D65" sqref="D65"/>
    </sheetView>
  </sheetViews>
  <sheetFormatPr defaultColWidth="8.90625" defaultRowHeight="14.5"/>
  <cols>
    <col min="1" max="1" width="20.81640625" bestFit="1" customWidth="1"/>
    <col min="2" max="2" width="12.1796875" customWidth="1"/>
    <col min="3" max="3" width="29.81640625" customWidth="1"/>
    <col min="4" max="4" width="46.08984375" bestFit="1" customWidth="1"/>
    <col min="5" max="5" width="19.81640625" customWidth="1"/>
    <col min="6" max="6" width="14.81640625" customWidth="1"/>
    <col min="7" max="7" width="20.1796875" customWidth="1"/>
    <col min="8" max="8" width="13.54296875" customWidth="1"/>
    <col min="9" max="9" width="18.1796875" bestFit="1" customWidth="1"/>
    <col min="10" max="10" width="15.81640625" customWidth="1"/>
    <col min="11" max="11" width="19.1796875" customWidth="1"/>
    <col min="12" max="12" width="13.81640625" customWidth="1"/>
    <col min="13" max="13" width="9.1796875" customWidth="1"/>
    <col min="14" max="14" width="23.54296875" customWidth="1"/>
    <col min="15" max="15" width="13.453125" customWidth="1"/>
    <col min="16" max="16" width="24.81640625" customWidth="1"/>
    <col min="18" max="18" width="21.1796875" customWidth="1"/>
    <col min="20" max="20" width="12" customWidth="1"/>
    <col min="21" max="21" width="15.1796875" customWidth="1"/>
    <col min="22" max="22" width="24.1796875" customWidth="1"/>
    <col min="23" max="23" width="12.81640625" customWidth="1"/>
  </cols>
  <sheetData>
    <row r="1" spans="1:23">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row>
    <row r="2" spans="1:23">
      <c r="A2" s="2" t="s">
        <v>210</v>
      </c>
      <c r="B2" s="2" t="s">
        <v>211</v>
      </c>
      <c r="C2" s="2" t="s">
        <v>212</v>
      </c>
      <c r="D2" s="2" t="s">
        <v>213</v>
      </c>
      <c r="E2" s="2" t="s">
        <v>933</v>
      </c>
      <c r="F2" s="2" t="s">
        <v>214</v>
      </c>
      <c r="G2" s="2" t="s">
        <v>215</v>
      </c>
      <c r="H2" s="2" t="s">
        <v>216</v>
      </c>
      <c r="I2" s="2" t="s">
        <v>217</v>
      </c>
      <c r="J2" s="2" t="s">
        <v>218</v>
      </c>
      <c r="K2" s="2" t="s">
        <v>11</v>
      </c>
      <c r="L2" s="2" t="s">
        <v>219</v>
      </c>
      <c r="M2" s="2" t="s">
        <v>220</v>
      </c>
      <c r="N2" s="2" t="s">
        <v>221</v>
      </c>
      <c r="O2" s="2" t="s">
        <v>222</v>
      </c>
      <c r="P2" s="2" t="s">
        <v>223</v>
      </c>
      <c r="Q2" s="2" t="s">
        <v>224</v>
      </c>
      <c r="R2" s="2" t="s">
        <v>9</v>
      </c>
      <c r="S2" s="2" t="s">
        <v>225</v>
      </c>
      <c r="T2" s="2" t="s">
        <v>8</v>
      </c>
      <c r="U2" s="2" t="s">
        <v>6</v>
      </c>
      <c r="V2" s="2" t="s">
        <v>226</v>
      </c>
      <c r="W2" s="2" t="s">
        <v>227</v>
      </c>
    </row>
    <row r="3" spans="1:23">
      <c r="A3" t="s">
        <v>934</v>
      </c>
      <c r="B3" t="s">
        <v>831</v>
      </c>
      <c r="C3" t="s">
        <v>935</v>
      </c>
      <c r="D3" t="s">
        <v>936</v>
      </c>
      <c r="E3" t="s">
        <v>937</v>
      </c>
      <c r="F3" t="s">
        <v>832</v>
      </c>
      <c r="G3" t="s">
        <v>833</v>
      </c>
      <c r="H3">
        <v>6</v>
      </c>
      <c r="I3">
        <v>0</v>
      </c>
      <c r="J3">
        <v>0</v>
      </c>
      <c r="K3" t="s">
        <v>228</v>
      </c>
      <c r="L3" t="s">
        <v>723</v>
      </c>
      <c r="N3">
        <v>0</v>
      </c>
      <c r="O3">
        <v>1</v>
      </c>
      <c r="P3">
        <v>1</v>
      </c>
      <c r="Q3">
        <v>34000</v>
      </c>
      <c r="R3">
        <v>262</v>
      </c>
      <c r="S3">
        <v>4</v>
      </c>
      <c r="T3">
        <v>138</v>
      </c>
      <c r="U3">
        <v>100300</v>
      </c>
      <c r="V3">
        <v>254</v>
      </c>
      <c r="W3" s="202">
        <v>25.1</v>
      </c>
    </row>
    <row r="4" spans="1:23">
      <c r="A4" t="s">
        <v>938</v>
      </c>
      <c r="B4" t="s">
        <v>831</v>
      </c>
      <c r="C4" t="s">
        <v>935</v>
      </c>
      <c r="D4" t="s">
        <v>936</v>
      </c>
      <c r="E4" t="s">
        <v>937</v>
      </c>
      <c r="F4" t="s">
        <v>832</v>
      </c>
      <c r="G4" t="s">
        <v>833</v>
      </c>
      <c r="H4">
        <v>6</v>
      </c>
      <c r="I4">
        <v>0</v>
      </c>
      <c r="J4">
        <v>0</v>
      </c>
      <c r="K4" t="s">
        <v>739</v>
      </c>
      <c r="L4" t="s">
        <v>723</v>
      </c>
      <c r="N4">
        <v>0</v>
      </c>
      <c r="O4">
        <v>1</v>
      </c>
      <c r="P4">
        <v>1</v>
      </c>
      <c r="Q4">
        <v>34000</v>
      </c>
      <c r="R4">
        <v>262</v>
      </c>
      <c r="S4">
        <v>4</v>
      </c>
      <c r="T4">
        <v>138</v>
      </c>
      <c r="U4">
        <v>100300</v>
      </c>
      <c r="V4">
        <v>254</v>
      </c>
      <c r="W4" s="202">
        <v>25.1</v>
      </c>
    </row>
    <row r="5" spans="1:23">
      <c r="A5" t="s">
        <v>939</v>
      </c>
      <c r="B5" t="s">
        <v>831</v>
      </c>
      <c r="C5" t="s">
        <v>940</v>
      </c>
      <c r="D5" t="s">
        <v>936</v>
      </c>
      <c r="E5" t="s">
        <v>937</v>
      </c>
      <c r="F5" t="s">
        <v>832</v>
      </c>
      <c r="G5" t="s">
        <v>833</v>
      </c>
      <c r="H5">
        <v>6</v>
      </c>
      <c r="I5">
        <v>0</v>
      </c>
      <c r="J5">
        <v>0</v>
      </c>
      <c r="K5" t="s">
        <v>228</v>
      </c>
      <c r="L5" t="s">
        <v>723</v>
      </c>
      <c r="N5">
        <v>0</v>
      </c>
      <c r="O5">
        <v>1</v>
      </c>
      <c r="P5">
        <v>1</v>
      </c>
      <c r="Q5">
        <v>45800</v>
      </c>
      <c r="R5">
        <v>353</v>
      </c>
      <c r="S5">
        <v>4</v>
      </c>
      <c r="T5">
        <v>184</v>
      </c>
      <c r="U5">
        <v>135110</v>
      </c>
      <c r="V5">
        <v>254</v>
      </c>
      <c r="W5" s="202">
        <v>25.1</v>
      </c>
    </row>
    <row r="6" spans="1:23">
      <c r="A6" t="s">
        <v>941</v>
      </c>
      <c r="B6" t="s">
        <v>831</v>
      </c>
      <c r="C6" t="s">
        <v>942</v>
      </c>
      <c r="D6" t="s">
        <v>936</v>
      </c>
      <c r="E6" t="s">
        <v>937</v>
      </c>
      <c r="F6" t="s">
        <v>832</v>
      </c>
      <c r="G6" t="s">
        <v>833</v>
      </c>
      <c r="H6">
        <v>6</v>
      </c>
      <c r="I6">
        <v>0</v>
      </c>
      <c r="J6">
        <v>0</v>
      </c>
      <c r="K6" t="s">
        <v>228</v>
      </c>
      <c r="L6" t="s">
        <v>723</v>
      </c>
      <c r="N6">
        <v>0</v>
      </c>
      <c r="O6">
        <v>1</v>
      </c>
      <c r="P6">
        <v>1</v>
      </c>
      <c r="Q6">
        <v>45800</v>
      </c>
      <c r="R6">
        <v>353</v>
      </c>
      <c r="S6">
        <v>4</v>
      </c>
      <c r="T6">
        <v>184</v>
      </c>
      <c r="U6">
        <v>135110</v>
      </c>
      <c r="V6">
        <v>254</v>
      </c>
      <c r="W6" s="202">
        <v>25.1</v>
      </c>
    </row>
    <row r="7" spans="1:23">
      <c r="A7" t="s">
        <v>943</v>
      </c>
      <c r="B7" t="s">
        <v>831</v>
      </c>
      <c r="C7" t="s">
        <v>940</v>
      </c>
      <c r="D7" t="s">
        <v>936</v>
      </c>
      <c r="E7" t="s">
        <v>937</v>
      </c>
      <c r="F7" t="s">
        <v>832</v>
      </c>
      <c r="G7" t="s">
        <v>833</v>
      </c>
      <c r="H7">
        <v>6</v>
      </c>
      <c r="I7">
        <v>0</v>
      </c>
      <c r="J7">
        <v>0</v>
      </c>
      <c r="K7" t="s">
        <v>739</v>
      </c>
      <c r="L7" t="s">
        <v>723</v>
      </c>
      <c r="N7">
        <v>0</v>
      </c>
      <c r="O7">
        <v>1</v>
      </c>
      <c r="P7">
        <v>1</v>
      </c>
      <c r="Q7">
        <v>45800</v>
      </c>
      <c r="R7">
        <v>353</v>
      </c>
      <c r="S7">
        <v>4</v>
      </c>
      <c r="T7">
        <v>184</v>
      </c>
      <c r="U7">
        <v>135110</v>
      </c>
      <c r="V7">
        <v>254</v>
      </c>
      <c r="W7" s="202">
        <v>25.1</v>
      </c>
    </row>
    <row r="8" spans="1:23">
      <c r="A8" t="s">
        <v>1468</v>
      </c>
      <c r="B8" t="s">
        <v>831</v>
      </c>
      <c r="C8" t="s">
        <v>1469</v>
      </c>
      <c r="D8" t="s">
        <v>946</v>
      </c>
      <c r="E8" t="s">
        <v>937</v>
      </c>
      <c r="F8" t="s">
        <v>947</v>
      </c>
      <c r="G8" t="s">
        <v>1470</v>
      </c>
      <c r="H8">
        <v>6</v>
      </c>
      <c r="I8">
        <v>0</v>
      </c>
      <c r="J8">
        <v>0</v>
      </c>
      <c r="K8" t="s">
        <v>228</v>
      </c>
      <c r="L8" t="s">
        <v>723</v>
      </c>
      <c r="N8">
        <v>0</v>
      </c>
      <c r="O8">
        <v>0</v>
      </c>
      <c r="P8">
        <v>1</v>
      </c>
      <c r="Q8">
        <v>8500</v>
      </c>
      <c r="R8">
        <v>65</v>
      </c>
      <c r="S8">
        <v>2</v>
      </c>
      <c r="T8">
        <v>34</v>
      </c>
      <c r="U8">
        <v>25075</v>
      </c>
      <c r="V8">
        <v>208</v>
      </c>
      <c r="W8" s="202" t="s">
        <v>1471</v>
      </c>
    </row>
    <row r="9" spans="1:23">
      <c r="A9" t="s">
        <v>1472</v>
      </c>
      <c r="B9" t="s">
        <v>831</v>
      </c>
      <c r="C9" t="s">
        <v>1469</v>
      </c>
      <c r="D9" t="s">
        <v>946</v>
      </c>
      <c r="E9" t="s">
        <v>937</v>
      </c>
      <c r="F9" t="s">
        <v>947</v>
      </c>
      <c r="G9" t="s">
        <v>1470</v>
      </c>
      <c r="H9">
        <v>7</v>
      </c>
      <c r="I9">
        <v>0</v>
      </c>
      <c r="J9">
        <v>0</v>
      </c>
      <c r="K9" t="s">
        <v>228</v>
      </c>
      <c r="L9" t="s">
        <v>724</v>
      </c>
      <c r="N9">
        <v>0</v>
      </c>
      <c r="O9">
        <v>0</v>
      </c>
      <c r="P9">
        <v>1</v>
      </c>
      <c r="Q9">
        <v>8500</v>
      </c>
      <c r="R9">
        <v>65</v>
      </c>
      <c r="S9">
        <v>2</v>
      </c>
      <c r="T9">
        <v>34</v>
      </c>
      <c r="U9">
        <v>25075</v>
      </c>
      <c r="V9">
        <v>208</v>
      </c>
      <c r="W9" s="202" t="s">
        <v>1471</v>
      </c>
    </row>
    <row r="10" spans="1:23">
      <c r="A10" t="s">
        <v>1473</v>
      </c>
      <c r="B10" t="s">
        <v>831</v>
      </c>
      <c r="C10" t="s">
        <v>1469</v>
      </c>
      <c r="D10" t="s">
        <v>946</v>
      </c>
      <c r="E10" t="s">
        <v>937</v>
      </c>
      <c r="F10" t="s">
        <v>947</v>
      </c>
      <c r="G10" t="s">
        <v>1470</v>
      </c>
      <c r="H10">
        <v>6</v>
      </c>
      <c r="I10">
        <v>0</v>
      </c>
      <c r="J10">
        <v>0</v>
      </c>
      <c r="K10" t="s">
        <v>739</v>
      </c>
      <c r="L10" t="s">
        <v>723</v>
      </c>
      <c r="N10">
        <v>0</v>
      </c>
      <c r="O10">
        <v>0</v>
      </c>
      <c r="P10">
        <v>1</v>
      </c>
      <c r="Q10">
        <v>8500</v>
      </c>
      <c r="R10">
        <v>65</v>
      </c>
      <c r="S10">
        <v>2</v>
      </c>
      <c r="T10">
        <v>34</v>
      </c>
      <c r="U10">
        <v>25075</v>
      </c>
      <c r="V10">
        <v>208</v>
      </c>
      <c r="W10" s="202" t="s">
        <v>1471</v>
      </c>
    </row>
    <row r="11" spans="1:23">
      <c r="A11" t="s">
        <v>1474</v>
      </c>
      <c r="B11" t="s">
        <v>831</v>
      </c>
      <c r="C11" t="s">
        <v>1469</v>
      </c>
      <c r="D11" t="s">
        <v>946</v>
      </c>
      <c r="E11" t="s">
        <v>937</v>
      </c>
      <c r="F11" t="s">
        <v>947</v>
      </c>
      <c r="G11" t="s">
        <v>1470</v>
      </c>
      <c r="H11">
        <v>7</v>
      </c>
      <c r="I11">
        <v>0</v>
      </c>
      <c r="J11">
        <v>0</v>
      </c>
      <c r="K11" t="s">
        <v>739</v>
      </c>
      <c r="L11" t="s">
        <v>724</v>
      </c>
      <c r="N11">
        <v>0</v>
      </c>
      <c r="O11">
        <v>0</v>
      </c>
      <c r="P11">
        <v>1</v>
      </c>
      <c r="Q11">
        <v>8500</v>
      </c>
      <c r="R11">
        <v>65</v>
      </c>
      <c r="S11">
        <v>2</v>
      </c>
      <c r="T11">
        <v>34</v>
      </c>
      <c r="U11">
        <v>25075</v>
      </c>
      <c r="V11">
        <v>208</v>
      </c>
      <c r="W11" s="202" t="s">
        <v>1471</v>
      </c>
    </row>
    <row r="12" spans="1:23">
      <c r="A12" t="s">
        <v>1475</v>
      </c>
      <c r="B12" t="s">
        <v>831</v>
      </c>
      <c r="C12" t="s">
        <v>1476</v>
      </c>
      <c r="D12" t="s">
        <v>946</v>
      </c>
      <c r="E12" t="s">
        <v>937</v>
      </c>
      <c r="F12" t="s">
        <v>947</v>
      </c>
      <c r="G12" t="s">
        <v>1470</v>
      </c>
      <c r="H12">
        <v>6</v>
      </c>
      <c r="I12">
        <v>0</v>
      </c>
      <c r="J12">
        <v>0</v>
      </c>
      <c r="K12" t="s">
        <v>228</v>
      </c>
      <c r="L12" t="s">
        <v>723</v>
      </c>
      <c r="N12">
        <v>0</v>
      </c>
      <c r="O12">
        <v>0</v>
      </c>
      <c r="P12">
        <v>1</v>
      </c>
      <c r="Q12">
        <v>16000</v>
      </c>
      <c r="R12">
        <v>123</v>
      </c>
      <c r="S12">
        <v>2</v>
      </c>
      <c r="T12">
        <v>65</v>
      </c>
      <c r="U12">
        <v>47200</v>
      </c>
      <c r="V12">
        <v>208</v>
      </c>
      <c r="W12" s="202" t="s">
        <v>1471</v>
      </c>
    </row>
    <row r="13" spans="1:23">
      <c r="A13" t="s">
        <v>1477</v>
      </c>
      <c r="B13" t="s">
        <v>831</v>
      </c>
      <c r="C13" t="s">
        <v>1476</v>
      </c>
      <c r="D13" t="s">
        <v>946</v>
      </c>
      <c r="E13" t="s">
        <v>937</v>
      </c>
      <c r="F13" t="s">
        <v>947</v>
      </c>
      <c r="G13" t="s">
        <v>1470</v>
      </c>
      <c r="H13">
        <v>7</v>
      </c>
      <c r="I13">
        <v>0</v>
      </c>
      <c r="J13">
        <v>0</v>
      </c>
      <c r="K13" t="s">
        <v>228</v>
      </c>
      <c r="L13" t="s">
        <v>724</v>
      </c>
      <c r="N13">
        <v>0</v>
      </c>
      <c r="O13">
        <v>0</v>
      </c>
      <c r="P13">
        <v>1</v>
      </c>
      <c r="Q13">
        <v>16000</v>
      </c>
      <c r="R13">
        <v>123</v>
      </c>
      <c r="S13">
        <v>2</v>
      </c>
      <c r="T13">
        <v>65</v>
      </c>
      <c r="U13">
        <v>47200</v>
      </c>
      <c r="V13">
        <v>208</v>
      </c>
      <c r="W13" s="202" t="s">
        <v>1471</v>
      </c>
    </row>
    <row r="14" spans="1:23">
      <c r="A14" t="s">
        <v>1478</v>
      </c>
      <c r="B14" t="s">
        <v>831</v>
      </c>
      <c r="C14" t="s">
        <v>1476</v>
      </c>
      <c r="D14" t="s">
        <v>946</v>
      </c>
      <c r="E14" t="s">
        <v>937</v>
      </c>
      <c r="F14" t="s">
        <v>947</v>
      </c>
      <c r="G14" t="s">
        <v>1470</v>
      </c>
      <c r="H14">
        <v>6</v>
      </c>
      <c r="I14">
        <v>0</v>
      </c>
      <c r="J14">
        <v>0</v>
      </c>
      <c r="K14" t="s">
        <v>739</v>
      </c>
      <c r="L14" t="s">
        <v>723</v>
      </c>
      <c r="N14">
        <v>0</v>
      </c>
      <c r="O14">
        <v>0</v>
      </c>
      <c r="P14">
        <v>1</v>
      </c>
      <c r="Q14">
        <v>16000</v>
      </c>
      <c r="R14">
        <v>123</v>
      </c>
      <c r="S14">
        <v>2</v>
      </c>
      <c r="T14">
        <v>65</v>
      </c>
      <c r="U14">
        <v>47200</v>
      </c>
      <c r="V14">
        <v>208</v>
      </c>
      <c r="W14" s="202" t="s">
        <v>1471</v>
      </c>
    </row>
    <row r="15" spans="1:23">
      <c r="A15" t="s">
        <v>1479</v>
      </c>
      <c r="B15" t="s">
        <v>831</v>
      </c>
      <c r="C15" t="s">
        <v>1476</v>
      </c>
      <c r="D15" t="s">
        <v>946</v>
      </c>
      <c r="E15" t="s">
        <v>937</v>
      </c>
      <c r="F15" t="s">
        <v>947</v>
      </c>
      <c r="G15" t="s">
        <v>1470</v>
      </c>
      <c r="H15">
        <v>7</v>
      </c>
      <c r="I15">
        <v>0</v>
      </c>
      <c r="J15">
        <v>0</v>
      </c>
      <c r="K15" t="s">
        <v>739</v>
      </c>
      <c r="L15" t="s">
        <v>724</v>
      </c>
      <c r="N15">
        <v>0</v>
      </c>
      <c r="O15">
        <v>0</v>
      </c>
      <c r="P15">
        <v>1</v>
      </c>
      <c r="Q15">
        <v>16000</v>
      </c>
      <c r="R15">
        <v>123</v>
      </c>
      <c r="S15">
        <v>2</v>
      </c>
      <c r="T15">
        <v>65</v>
      </c>
      <c r="U15">
        <v>47200</v>
      </c>
      <c r="V15">
        <v>208</v>
      </c>
      <c r="W15" s="202" t="s">
        <v>1471</v>
      </c>
    </row>
    <row r="16" spans="1:23">
      <c r="A16" t="s">
        <v>1480</v>
      </c>
      <c r="B16" t="s">
        <v>831</v>
      </c>
      <c r="C16" t="s">
        <v>1481</v>
      </c>
      <c r="D16" t="s">
        <v>946</v>
      </c>
      <c r="E16" t="s">
        <v>937</v>
      </c>
      <c r="F16" t="s">
        <v>947</v>
      </c>
      <c r="G16" t="s">
        <v>1470</v>
      </c>
      <c r="H16">
        <v>6</v>
      </c>
      <c r="I16">
        <v>0</v>
      </c>
      <c r="J16">
        <v>0</v>
      </c>
      <c r="K16" t="s">
        <v>228</v>
      </c>
      <c r="L16" t="s">
        <v>723</v>
      </c>
      <c r="N16">
        <v>0</v>
      </c>
      <c r="O16">
        <v>0</v>
      </c>
      <c r="P16">
        <v>1</v>
      </c>
      <c r="Q16">
        <v>23400</v>
      </c>
      <c r="R16">
        <v>179</v>
      </c>
      <c r="S16">
        <v>7</v>
      </c>
      <c r="T16">
        <v>94</v>
      </c>
      <c r="U16">
        <v>65490</v>
      </c>
      <c r="V16">
        <v>208</v>
      </c>
      <c r="W16" s="202" t="s">
        <v>1471</v>
      </c>
    </row>
    <row r="17" spans="1:23">
      <c r="A17" t="s">
        <v>1482</v>
      </c>
      <c r="B17" t="s">
        <v>831</v>
      </c>
      <c r="C17" t="s">
        <v>1481</v>
      </c>
      <c r="D17" t="s">
        <v>946</v>
      </c>
      <c r="E17" t="s">
        <v>937</v>
      </c>
      <c r="F17" t="s">
        <v>947</v>
      </c>
      <c r="G17" t="s">
        <v>1470</v>
      </c>
      <c r="H17">
        <v>7</v>
      </c>
      <c r="I17">
        <v>0</v>
      </c>
      <c r="J17">
        <v>0</v>
      </c>
      <c r="K17" t="s">
        <v>228</v>
      </c>
      <c r="L17" t="s">
        <v>724</v>
      </c>
      <c r="N17">
        <v>0</v>
      </c>
      <c r="O17">
        <v>0</v>
      </c>
      <c r="P17">
        <v>1</v>
      </c>
      <c r="Q17">
        <v>23400</v>
      </c>
      <c r="R17">
        <v>179</v>
      </c>
      <c r="S17">
        <v>7</v>
      </c>
      <c r="T17">
        <v>94</v>
      </c>
      <c r="U17">
        <v>65490</v>
      </c>
      <c r="V17">
        <v>208</v>
      </c>
      <c r="W17" s="202" t="s">
        <v>1471</v>
      </c>
    </row>
    <row r="18" spans="1:23">
      <c r="A18" t="s">
        <v>1483</v>
      </c>
      <c r="B18" t="s">
        <v>831</v>
      </c>
      <c r="C18" t="s">
        <v>1481</v>
      </c>
      <c r="D18" t="s">
        <v>946</v>
      </c>
      <c r="E18" t="s">
        <v>937</v>
      </c>
      <c r="F18" t="s">
        <v>947</v>
      </c>
      <c r="G18" t="s">
        <v>1470</v>
      </c>
      <c r="H18">
        <v>6</v>
      </c>
      <c r="I18">
        <v>0</v>
      </c>
      <c r="J18">
        <v>0</v>
      </c>
      <c r="K18" t="s">
        <v>739</v>
      </c>
      <c r="L18" t="s">
        <v>723</v>
      </c>
      <c r="N18">
        <v>0</v>
      </c>
      <c r="O18">
        <v>0</v>
      </c>
      <c r="P18">
        <v>1</v>
      </c>
      <c r="Q18">
        <v>23400</v>
      </c>
      <c r="R18">
        <v>179</v>
      </c>
      <c r="S18">
        <v>7</v>
      </c>
      <c r="T18">
        <v>94</v>
      </c>
      <c r="U18">
        <v>65490</v>
      </c>
      <c r="V18">
        <v>208</v>
      </c>
      <c r="W18" s="202" t="s">
        <v>1471</v>
      </c>
    </row>
    <row r="19" spans="1:23">
      <c r="A19" t="s">
        <v>1484</v>
      </c>
      <c r="B19" t="s">
        <v>831</v>
      </c>
      <c r="C19" t="s">
        <v>1481</v>
      </c>
      <c r="D19" t="s">
        <v>946</v>
      </c>
      <c r="E19" t="s">
        <v>937</v>
      </c>
      <c r="F19" t="s">
        <v>947</v>
      </c>
      <c r="G19" t="s">
        <v>1470</v>
      </c>
      <c r="H19">
        <v>7</v>
      </c>
      <c r="I19">
        <v>0</v>
      </c>
      <c r="J19">
        <v>0</v>
      </c>
      <c r="K19" t="s">
        <v>739</v>
      </c>
      <c r="L19" t="s">
        <v>724</v>
      </c>
      <c r="N19">
        <v>0</v>
      </c>
      <c r="O19">
        <v>0</v>
      </c>
      <c r="P19">
        <v>1</v>
      </c>
      <c r="Q19">
        <v>23400</v>
      </c>
      <c r="R19">
        <v>179</v>
      </c>
      <c r="S19">
        <v>7</v>
      </c>
      <c r="T19">
        <v>94</v>
      </c>
      <c r="U19">
        <v>65490</v>
      </c>
      <c r="V19">
        <v>208</v>
      </c>
      <c r="W19" s="202" t="s">
        <v>1471</v>
      </c>
    </row>
    <row r="20" spans="1:23">
      <c r="A20" t="s">
        <v>944</v>
      </c>
      <c r="B20" t="s">
        <v>831</v>
      </c>
      <c r="C20" t="s">
        <v>945</v>
      </c>
      <c r="D20" t="s">
        <v>946</v>
      </c>
      <c r="E20" t="s">
        <v>937</v>
      </c>
      <c r="F20" t="s">
        <v>947</v>
      </c>
      <c r="G20" t="s">
        <v>948</v>
      </c>
      <c r="H20">
        <v>6</v>
      </c>
      <c r="I20">
        <v>0</v>
      </c>
      <c r="J20">
        <v>0</v>
      </c>
      <c r="K20" t="s">
        <v>228</v>
      </c>
      <c r="L20" t="s">
        <v>723</v>
      </c>
      <c r="N20">
        <v>0</v>
      </c>
      <c r="O20">
        <v>0</v>
      </c>
      <c r="P20">
        <v>1</v>
      </c>
      <c r="Q20">
        <v>34000</v>
      </c>
      <c r="R20">
        <v>262</v>
      </c>
      <c r="S20">
        <v>4</v>
      </c>
      <c r="T20">
        <v>138</v>
      </c>
      <c r="U20">
        <v>100300</v>
      </c>
      <c r="V20">
        <v>208</v>
      </c>
      <c r="W20" s="202">
        <v>25.1</v>
      </c>
    </row>
    <row r="21" spans="1:23">
      <c r="A21" t="s">
        <v>949</v>
      </c>
      <c r="B21" t="s">
        <v>831</v>
      </c>
      <c r="C21" t="s">
        <v>945</v>
      </c>
      <c r="D21" t="s">
        <v>946</v>
      </c>
      <c r="E21" t="s">
        <v>937</v>
      </c>
      <c r="F21" t="s">
        <v>947</v>
      </c>
      <c r="G21" t="s">
        <v>948</v>
      </c>
      <c r="H21">
        <v>7</v>
      </c>
      <c r="I21">
        <v>0</v>
      </c>
      <c r="J21">
        <v>0</v>
      </c>
      <c r="K21" t="s">
        <v>228</v>
      </c>
      <c r="L21" t="s">
        <v>724</v>
      </c>
      <c r="N21">
        <v>0</v>
      </c>
      <c r="O21">
        <v>0</v>
      </c>
      <c r="P21">
        <v>1</v>
      </c>
      <c r="Q21">
        <v>34000</v>
      </c>
      <c r="R21">
        <v>262</v>
      </c>
      <c r="S21">
        <v>4</v>
      </c>
      <c r="T21">
        <v>138</v>
      </c>
      <c r="U21">
        <v>100300</v>
      </c>
      <c r="V21">
        <v>208</v>
      </c>
      <c r="W21" s="202">
        <v>25.1</v>
      </c>
    </row>
    <row r="22" spans="1:23">
      <c r="A22" t="s">
        <v>950</v>
      </c>
      <c r="B22" t="s">
        <v>831</v>
      </c>
      <c r="C22" t="s">
        <v>945</v>
      </c>
      <c r="D22" t="s">
        <v>946</v>
      </c>
      <c r="E22" t="s">
        <v>937</v>
      </c>
      <c r="F22" t="s">
        <v>947</v>
      </c>
      <c r="G22" t="s">
        <v>948</v>
      </c>
      <c r="H22">
        <v>6</v>
      </c>
      <c r="I22">
        <v>0</v>
      </c>
      <c r="J22">
        <v>0</v>
      </c>
      <c r="K22" t="s">
        <v>739</v>
      </c>
      <c r="L22" t="s">
        <v>723</v>
      </c>
      <c r="N22">
        <v>0</v>
      </c>
      <c r="O22">
        <v>0</v>
      </c>
      <c r="P22">
        <v>1</v>
      </c>
      <c r="Q22">
        <v>34000</v>
      </c>
      <c r="R22">
        <v>262</v>
      </c>
      <c r="S22">
        <v>4</v>
      </c>
      <c r="T22">
        <v>138</v>
      </c>
      <c r="U22">
        <v>100300</v>
      </c>
      <c r="V22">
        <v>208</v>
      </c>
      <c r="W22" s="202">
        <v>25.1</v>
      </c>
    </row>
    <row r="23" spans="1:23">
      <c r="A23" t="s">
        <v>951</v>
      </c>
      <c r="B23" t="s">
        <v>831</v>
      </c>
      <c r="C23" t="s">
        <v>945</v>
      </c>
      <c r="D23" t="s">
        <v>946</v>
      </c>
      <c r="E23" t="s">
        <v>937</v>
      </c>
      <c r="F23" t="s">
        <v>947</v>
      </c>
      <c r="G23" t="s">
        <v>948</v>
      </c>
      <c r="H23">
        <v>7</v>
      </c>
      <c r="I23">
        <v>0</v>
      </c>
      <c r="J23">
        <v>0</v>
      </c>
      <c r="K23" t="s">
        <v>739</v>
      </c>
      <c r="L23" t="s">
        <v>724</v>
      </c>
      <c r="N23">
        <v>0</v>
      </c>
      <c r="O23">
        <v>0</v>
      </c>
      <c r="P23">
        <v>1</v>
      </c>
      <c r="Q23">
        <v>34000</v>
      </c>
      <c r="R23">
        <v>262</v>
      </c>
      <c r="S23">
        <v>4</v>
      </c>
      <c r="T23">
        <v>138</v>
      </c>
      <c r="U23">
        <v>100300</v>
      </c>
      <c r="V23">
        <v>208</v>
      </c>
      <c r="W23" s="202">
        <v>25.1</v>
      </c>
    </row>
    <row r="24" spans="1:23">
      <c r="A24" t="s">
        <v>952</v>
      </c>
      <c r="B24" t="s">
        <v>831</v>
      </c>
      <c r="C24" t="s">
        <v>953</v>
      </c>
      <c r="D24" t="s">
        <v>946</v>
      </c>
      <c r="E24" t="s">
        <v>937</v>
      </c>
      <c r="F24" t="s">
        <v>832</v>
      </c>
      <c r="G24" t="s">
        <v>833</v>
      </c>
      <c r="H24">
        <v>6</v>
      </c>
      <c r="I24">
        <v>0</v>
      </c>
      <c r="J24">
        <v>0</v>
      </c>
      <c r="K24" t="s">
        <v>228</v>
      </c>
      <c r="L24" t="s">
        <v>723</v>
      </c>
      <c r="N24">
        <v>0</v>
      </c>
      <c r="O24">
        <v>0</v>
      </c>
      <c r="P24">
        <v>1</v>
      </c>
      <c r="Q24">
        <v>34000</v>
      </c>
      <c r="R24">
        <v>262</v>
      </c>
      <c r="S24">
        <v>4</v>
      </c>
      <c r="T24">
        <v>138</v>
      </c>
      <c r="U24">
        <v>100300</v>
      </c>
      <c r="V24">
        <v>254</v>
      </c>
      <c r="W24" s="202">
        <v>25.1</v>
      </c>
    </row>
    <row r="25" spans="1:23">
      <c r="A25" t="s">
        <v>954</v>
      </c>
      <c r="B25" t="s">
        <v>831</v>
      </c>
      <c r="C25" t="s">
        <v>953</v>
      </c>
      <c r="D25" t="s">
        <v>946</v>
      </c>
      <c r="E25" t="s">
        <v>937</v>
      </c>
      <c r="F25" t="s">
        <v>832</v>
      </c>
      <c r="G25" t="s">
        <v>833</v>
      </c>
      <c r="H25">
        <v>7</v>
      </c>
      <c r="I25">
        <v>0</v>
      </c>
      <c r="J25">
        <v>0</v>
      </c>
      <c r="K25" t="s">
        <v>228</v>
      </c>
      <c r="L25" t="s">
        <v>724</v>
      </c>
      <c r="N25">
        <v>0</v>
      </c>
      <c r="O25">
        <v>0</v>
      </c>
      <c r="P25">
        <v>1</v>
      </c>
      <c r="Q25">
        <v>34000</v>
      </c>
      <c r="R25">
        <v>262</v>
      </c>
      <c r="S25">
        <v>4</v>
      </c>
      <c r="T25">
        <v>138</v>
      </c>
      <c r="U25">
        <v>100300</v>
      </c>
      <c r="V25">
        <v>254</v>
      </c>
      <c r="W25" s="202">
        <v>25.1</v>
      </c>
    </row>
    <row r="26" spans="1:23">
      <c r="A26" t="s">
        <v>955</v>
      </c>
      <c r="B26" t="s">
        <v>831</v>
      </c>
      <c r="C26" t="s">
        <v>953</v>
      </c>
      <c r="D26" t="s">
        <v>946</v>
      </c>
      <c r="E26" t="s">
        <v>937</v>
      </c>
      <c r="F26" t="s">
        <v>832</v>
      </c>
      <c r="G26" t="s">
        <v>833</v>
      </c>
      <c r="H26">
        <v>6</v>
      </c>
      <c r="I26">
        <v>0</v>
      </c>
      <c r="J26">
        <v>0</v>
      </c>
      <c r="K26" t="s">
        <v>739</v>
      </c>
      <c r="L26" t="s">
        <v>723</v>
      </c>
      <c r="N26">
        <v>0</v>
      </c>
      <c r="O26">
        <v>0</v>
      </c>
      <c r="P26">
        <v>1</v>
      </c>
      <c r="Q26">
        <v>34000</v>
      </c>
      <c r="R26">
        <v>262</v>
      </c>
      <c r="S26">
        <v>4</v>
      </c>
      <c r="T26">
        <v>138</v>
      </c>
      <c r="U26">
        <v>100300</v>
      </c>
      <c r="V26">
        <v>254</v>
      </c>
      <c r="W26" s="202">
        <v>25.1</v>
      </c>
    </row>
    <row r="27" spans="1:23">
      <c r="A27" t="s">
        <v>956</v>
      </c>
      <c r="B27" t="s">
        <v>831</v>
      </c>
      <c r="C27" t="s">
        <v>953</v>
      </c>
      <c r="D27" t="s">
        <v>946</v>
      </c>
      <c r="E27" t="s">
        <v>937</v>
      </c>
      <c r="F27" t="s">
        <v>832</v>
      </c>
      <c r="G27" t="s">
        <v>833</v>
      </c>
      <c r="H27">
        <v>7</v>
      </c>
      <c r="I27">
        <v>0</v>
      </c>
      <c r="J27">
        <v>0</v>
      </c>
      <c r="K27" t="s">
        <v>739</v>
      </c>
      <c r="L27" t="s">
        <v>724</v>
      </c>
      <c r="N27">
        <v>0</v>
      </c>
      <c r="O27">
        <v>0</v>
      </c>
      <c r="P27">
        <v>1</v>
      </c>
      <c r="Q27">
        <v>34000</v>
      </c>
      <c r="R27">
        <v>262</v>
      </c>
      <c r="S27">
        <v>4</v>
      </c>
      <c r="T27">
        <v>138</v>
      </c>
      <c r="U27">
        <v>100300</v>
      </c>
      <c r="V27">
        <v>254</v>
      </c>
      <c r="W27" s="202">
        <v>25.1</v>
      </c>
    </row>
    <row r="28" spans="1:23">
      <c r="A28" t="s">
        <v>957</v>
      </c>
      <c r="B28" t="s">
        <v>831</v>
      </c>
      <c r="C28" t="s">
        <v>958</v>
      </c>
      <c r="D28" t="s">
        <v>946</v>
      </c>
      <c r="E28" t="s">
        <v>937</v>
      </c>
      <c r="F28" t="s">
        <v>947</v>
      </c>
      <c r="G28" t="s">
        <v>948</v>
      </c>
      <c r="H28">
        <v>6</v>
      </c>
      <c r="I28">
        <v>0</v>
      </c>
      <c r="J28">
        <v>0</v>
      </c>
      <c r="K28" t="s">
        <v>228</v>
      </c>
      <c r="L28" t="s">
        <v>723</v>
      </c>
      <c r="N28">
        <v>0</v>
      </c>
      <c r="O28">
        <v>0</v>
      </c>
      <c r="P28">
        <v>1</v>
      </c>
      <c r="Q28">
        <v>45800</v>
      </c>
      <c r="R28">
        <v>353</v>
      </c>
      <c r="S28">
        <v>4</v>
      </c>
      <c r="T28">
        <v>184</v>
      </c>
      <c r="U28">
        <v>135110</v>
      </c>
      <c r="V28">
        <v>208</v>
      </c>
      <c r="W28" s="202">
        <v>25.1</v>
      </c>
    </row>
    <row r="29" spans="1:23">
      <c r="A29" t="s">
        <v>1485</v>
      </c>
      <c r="B29" t="s">
        <v>831</v>
      </c>
      <c r="C29" t="s">
        <v>1486</v>
      </c>
      <c r="D29" t="s">
        <v>946</v>
      </c>
      <c r="E29" t="s">
        <v>937</v>
      </c>
      <c r="F29" t="s">
        <v>947</v>
      </c>
      <c r="G29" t="s">
        <v>948</v>
      </c>
      <c r="H29">
        <v>6</v>
      </c>
      <c r="I29">
        <v>0</v>
      </c>
      <c r="J29">
        <v>0</v>
      </c>
      <c r="K29" t="s">
        <v>228</v>
      </c>
      <c r="L29" t="s">
        <v>723</v>
      </c>
      <c r="N29">
        <v>0</v>
      </c>
      <c r="O29">
        <v>0</v>
      </c>
      <c r="P29">
        <v>1</v>
      </c>
      <c r="Q29">
        <v>45800</v>
      </c>
      <c r="R29">
        <v>353</v>
      </c>
      <c r="S29">
        <v>4</v>
      </c>
      <c r="T29">
        <v>184</v>
      </c>
      <c r="U29">
        <v>135110</v>
      </c>
      <c r="V29">
        <v>208</v>
      </c>
      <c r="W29" s="202">
        <v>25.1</v>
      </c>
    </row>
    <row r="30" spans="1:23">
      <c r="A30" t="s">
        <v>959</v>
      </c>
      <c r="B30" t="s">
        <v>831</v>
      </c>
      <c r="C30" t="s">
        <v>958</v>
      </c>
      <c r="D30" t="s">
        <v>946</v>
      </c>
      <c r="E30" t="s">
        <v>937</v>
      </c>
      <c r="F30" t="s">
        <v>947</v>
      </c>
      <c r="G30" t="s">
        <v>948</v>
      </c>
      <c r="H30">
        <v>7</v>
      </c>
      <c r="I30">
        <v>0</v>
      </c>
      <c r="J30">
        <v>0</v>
      </c>
      <c r="K30" t="s">
        <v>228</v>
      </c>
      <c r="L30" t="s">
        <v>724</v>
      </c>
      <c r="N30">
        <v>0</v>
      </c>
      <c r="O30">
        <v>0</v>
      </c>
      <c r="P30">
        <v>1</v>
      </c>
      <c r="Q30">
        <v>45800</v>
      </c>
      <c r="R30">
        <v>353</v>
      </c>
      <c r="S30">
        <v>4</v>
      </c>
      <c r="T30">
        <v>184</v>
      </c>
      <c r="U30">
        <v>135110</v>
      </c>
      <c r="V30">
        <v>208</v>
      </c>
      <c r="W30" s="202">
        <v>25.1</v>
      </c>
    </row>
    <row r="31" spans="1:23">
      <c r="A31" t="s">
        <v>960</v>
      </c>
      <c r="B31" t="s">
        <v>831</v>
      </c>
      <c r="C31" t="s">
        <v>958</v>
      </c>
      <c r="D31" t="s">
        <v>946</v>
      </c>
      <c r="E31" t="s">
        <v>937</v>
      </c>
      <c r="F31" t="s">
        <v>947</v>
      </c>
      <c r="G31" t="s">
        <v>948</v>
      </c>
      <c r="H31">
        <v>6</v>
      </c>
      <c r="I31">
        <v>0</v>
      </c>
      <c r="J31">
        <v>0</v>
      </c>
      <c r="K31" t="s">
        <v>739</v>
      </c>
      <c r="L31" t="s">
        <v>723</v>
      </c>
      <c r="N31">
        <v>0</v>
      </c>
      <c r="O31">
        <v>0</v>
      </c>
      <c r="P31">
        <v>1</v>
      </c>
      <c r="Q31">
        <v>45800</v>
      </c>
      <c r="R31">
        <v>353</v>
      </c>
      <c r="S31">
        <v>4</v>
      </c>
      <c r="T31">
        <v>184</v>
      </c>
      <c r="U31">
        <v>135110</v>
      </c>
      <c r="V31">
        <v>208</v>
      </c>
      <c r="W31" s="202">
        <v>25.1</v>
      </c>
    </row>
    <row r="32" spans="1:23">
      <c r="A32" t="s">
        <v>961</v>
      </c>
      <c r="B32" t="s">
        <v>831</v>
      </c>
      <c r="C32" t="s">
        <v>958</v>
      </c>
      <c r="D32" t="s">
        <v>946</v>
      </c>
      <c r="E32" t="s">
        <v>937</v>
      </c>
      <c r="F32" t="s">
        <v>947</v>
      </c>
      <c r="G32" t="s">
        <v>948</v>
      </c>
      <c r="H32">
        <v>7</v>
      </c>
      <c r="I32">
        <v>0</v>
      </c>
      <c r="J32">
        <v>0</v>
      </c>
      <c r="K32" t="s">
        <v>739</v>
      </c>
      <c r="L32" t="s">
        <v>724</v>
      </c>
      <c r="N32">
        <v>0</v>
      </c>
      <c r="O32">
        <v>0</v>
      </c>
      <c r="P32">
        <v>1</v>
      </c>
      <c r="Q32">
        <v>45800</v>
      </c>
      <c r="R32">
        <v>353</v>
      </c>
      <c r="S32">
        <v>4</v>
      </c>
      <c r="T32">
        <v>184</v>
      </c>
      <c r="U32">
        <v>135110</v>
      </c>
      <c r="V32">
        <v>208</v>
      </c>
      <c r="W32" s="202">
        <v>25.1</v>
      </c>
    </row>
    <row r="33" spans="1:23">
      <c r="A33" t="s">
        <v>962</v>
      </c>
      <c r="B33" t="s">
        <v>831</v>
      </c>
      <c r="C33" t="s">
        <v>963</v>
      </c>
      <c r="D33" t="s">
        <v>946</v>
      </c>
      <c r="E33" t="s">
        <v>937</v>
      </c>
      <c r="F33" t="s">
        <v>832</v>
      </c>
      <c r="G33" t="s">
        <v>833</v>
      </c>
      <c r="H33">
        <v>6</v>
      </c>
      <c r="I33">
        <v>0</v>
      </c>
      <c r="J33">
        <v>0</v>
      </c>
      <c r="K33" t="s">
        <v>228</v>
      </c>
      <c r="L33" t="s">
        <v>723</v>
      </c>
      <c r="N33">
        <v>0</v>
      </c>
      <c r="O33">
        <v>0</v>
      </c>
      <c r="P33">
        <v>1</v>
      </c>
      <c r="Q33">
        <v>45800</v>
      </c>
      <c r="R33">
        <v>353</v>
      </c>
      <c r="S33">
        <v>4</v>
      </c>
      <c r="T33">
        <v>184</v>
      </c>
      <c r="U33">
        <v>135110</v>
      </c>
      <c r="V33">
        <v>254</v>
      </c>
      <c r="W33" s="202">
        <v>25.1</v>
      </c>
    </row>
    <row r="34" spans="1:23">
      <c r="A34" t="s">
        <v>964</v>
      </c>
      <c r="B34" t="s">
        <v>831</v>
      </c>
      <c r="C34" t="s">
        <v>963</v>
      </c>
      <c r="D34" t="s">
        <v>946</v>
      </c>
      <c r="E34" t="s">
        <v>937</v>
      </c>
      <c r="F34" t="s">
        <v>832</v>
      </c>
      <c r="G34" t="s">
        <v>833</v>
      </c>
      <c r="H34">
        <v>7</v>
      </c>
      <c r="I34">
        <v>0</v>
      </c>
      <c r="J34">
        <v>0</v>
      </c>
      <c r="K34" t="s">
        <v>228</v>
      </c>
      <c r="L34" t="s">
        <v>724</v>
      </c>
      <c r="N34">
        <v>0</v>
      </c>
      <c r="O34">
        <v>0</v>
      </c>
      <c r="P34">
        <v>1</v>
      </c>
      <c r="Q34">
        <v>45800</v>
      </c>
      <c r="R34">
        <v>353</v>
      </c>
      <c r="S34">
        <v>4</v>
      </c>
      <c r="T34">
        <v>184</v>
      </c>
      <c r="U34">
        <v>135110</v>
      </c>
      <c r="V34">
        <v>254</v>
      </c>
      <c r="W34" s="202">
        <v>25.1</v>
      </c>
    </row>
    <row r="35" spans="1:23">
      <c r="A35" t="s">
        <v>965</v>
      </c>
      <c r="B35" t="s">
        <v>831</v>
      </c>
      <c r="C35" t="s">
        <v>963</v>
      </c>
      <c r="D35" t="s">
        <v>946</v>
      </c>
      <c r="E35" t="s">
        <v>937</v>
      </c>
      <c r="F35" t="s">
        <v>832</v>
      </c>
      <c r="G35" t="s">
        <v>833</v>
      </c>
      <c r="H35">
        <v>6</v>
      </c>
      <c r="I35">
        <v>0</v>
      </c>
      <c r="J35">
        <v>0</v>
      </c>
      <c r="K35" t="s">
        <v>739</v>
      </c>
      <c r="L35" t="s">
        <v>723</v>
      </c>
      <c r="N35">
        <v>0</v>
      </c>
      <c r="O35">
        <v>0</v>
      </c>
      <c r="P35">
        <v>1</v>
      </c>
      <c r="Q35">
        <v>45800</v>
      </c>
      <c r="R35">
        <v>353</v>
      </c>
      <c r="S35">
        <v>4</v>
      </c>
      <c r="T35">
        <v>184</v>
      </c>
      <c r="U35">
        <v>135110</v>
      </c>
      <c r="V35">
        <v>254</v>
      </c>
      <c r="W35" s="202">
        <v>25.1</v>
      </c>
    </row>
    <row r="36" spans="1:23">
      <c r="A36" t="s">
        <v>966</v>
      </c>
      <c r="B36" t="s">
        <v>831</v>
      </c>
      <c r="C36" t="s">
        <v>963</v>
      </c>
      <c r="D36" t="s">
        <v>946</v>
      </c>
      <c r="E36" t="s">
        <v>937</v>
      </c>
      <c r="F36" t="s">
        <v>832</v>
      </c>
      <c r="G36" t="s">
        <v>833</v>
      </c>
      <c r="H36">
        <v>7</v>
      </c>
      <c r="I36">
        <v>0</v>
      </c>
      <c r="J36">
        <v>0</v>
      </c>
      <c r="K36" t="s">
        <v>739</v>
      </c>
      <c r="L36" t="s">
        <v>724</v>
      </c>
      <c r="N36">
        <v>0</v>
      </c>
      <c r="O36">
        <v>0</v>
      </c>
      <c r="P36">
        <v>1</v>
      </c>
      <c r="Q36">
        <v>45800</v>
      </c>
      <c r="R36">
        <v>353</v>
      </c>
      <c r="S36">
        <v>4</v>
      </c>
      <c r="T36">
        <v>184</v>
      </c>
      <c r="U36">
        <v>135110</v>
      </c>
      <c r="V36">
        <v>254</v>
      </c>
      <c r="W36" s="202">
        <v>25.1</v>
      </c>
    </row>
    <row r="37" spans="1:23">
      <c r="A37" t="s">
        <v>1487</v>
      </c>
      <c r="B37" t="s">
        <v>831</v>
      </c>
      <c r="C37" t="s">
        <v>1488</v>
      </c>
      <c r="D37" t="s">
        <v>969</v>
      </c>
      <c r="E37" t="s">
        <v>937</v>
      </c>
      <c r="F37" t="s">
        <v>947</v>
      </c>
      <c r="G37" t="s">
        <v>1470</v>
      </c>
      <c r="H37">
        <v>7</v>
      </c>
      <c r="I37">
        <v>0</v>
      </c>
      <c r="J37">
        <v>0</v>
      </c>
      <c r="K37" t="s">
        <v>228</v>
      </c>
      <c r="L37" t="s">
        <v>724</v>
      </c>
      <c r="N37">
        <v>0</v>
      </c>
      <c r="O37">
        <v>0</v>
      </c>
      <c r="P37">
        <v>1</v>
      </c>
      <c r="Q37">
        <v>8500</v>
      </c>
      <c r="R37">
        <v>65</v>
      </c>
      <c r="S37">
        <v>2</v>
      </c>
      <c r="T37">
        <v>34</v>
      </c>
      <c r="U37">
        <v>25075</v>
      </c>
      <c r="V37">
        <v>208</v>
      </c>
      <c r="W37" s="202" t="s">
        <v>1471</v>
      </c>
    </row>
    <row r="38" spans="1:23">
      <c r="A38" t="s">
        <v>1489</v>
      </c>
      <c r="B38" t="s">
        <v>831</v>
      </c>
      <c r="C38" t="s">
        <v>1488</v>
      </c>
      <c r="D38" t="s">
        <v>969</v>
      </c>
      <c r="E38" t="s">
        <v>937</v>
      </c>
      <c r="F38" t="s">
        <v>947</v>
      </c>
      <c r="G38" t="s">
        <v>1470</v>
      </c>
      <c r="H38">
        <v>7</v>
      </c>
      <c r="I38">
        <v>0</v>
      </c>
      <c r="J38">
        <v>0</v>
      </c>
      <c r="K38" t="s">
        <v>739</v>
      </c>
      <c r="L38" t="s">
        <v>724</v>
      </c>
      <c r="N38">
        <v>0</v>
      </c>
      <c r="O38">
        <v>0</v>
      </c>
      <c r="P38">
        <v>1</v>
      </c>
      <c r="Q38">
        <v>8500</v>
      </c>
      <c r="R38">
        <v>65</v>
      </c>
      <c r="S38">
        <v>2</v>
      </c>
      <c r="T38">
        <v>34</v>
      </c>
      <c r="U38">
        <v>25075</v>
      </c>
      <c r="V38">
        <v>208</v>
      </c>
      <c r="W38" s="202" t="s">
        <v>1471</v>
      </c>
    </row>
    <row r="39" spans="1:23">
      <c r="A39" t="s">
        <v>1490</v>
      </c>
      <c r="B39" t="s">
        <v>831</v>
      </c>
      <c r="C39" t="s">
        <v>1491</v>
      </c>
      <c r="D39" t="s">
        <v>969</v>
      </c>
      <c r="E39" t="s">
        <v>937</v>
      </c>
      <c r="F39" t="s">
        <v>947</v>
      </c>
      <c r="G39" t="s">
        <v>1470</v>
      </c>
      <c r="H39">
        <v>7</v>
      </c>
      <c r="I39">
        <v>0</v>
      </c>
      <c r="J39">
        <v>0</v>
      </c>
      <c r="K39" t="s">
        <v>228</v>
      </c>
      <c r="L39" t="s">
        <v>724</v>
      </c>
      <c r="N39">
        <v>0</v>
      </c>
      <c r="O39">
        <v>0</v>
      </c>
      <c r="P39">
        <v>1</v>
      </c>
      <c r="Q39">
        <v>16000</v>
      </c>
      <c r="R39">
        <v>123</v>
      </c>
      <c r="S39">
        <v>2</v>
      </c>
      <c r="T39">
        <v>65</v>
      </c>
      <c r="U39">
        <v>47200</v>
      </c>
      <c r="V39">
        <v>208</v>
      </c>
      <c r="W39" s="202" t="s">
        <v>1471</v>
      </c>
    </row>
    <row r="40" spans="1:23">
      <c r="A40" t="s">
        <v>1492</v>
      </c>
      <c r="B40" t="s">
        <v>831</v>
      </c>
      <c r="C40" t="s">
        <v>1491</v>
      </c>
      <c r="D40" t="s">
        <v>969</v>
      </c>
      <c r="E40" t="s">
        <v>937</v>
      </c>
      <c r="F40" t="s">
        <v>947</v>
      </c>
      <c r="G40" t="s">
        <v>1470</v>
      </c>
      <c r="H40">
        <v>7</v>
      </c>
      <c r="I40">
        <v>0</v>
      </c>
      <c r="J40">
        <v>0</v>
      </c>
      <c r="K40" t="s">
        <v>739</v>
      </c>
      <c r="L40" t="s">
        <v>724</v>
      </c>
      <c r="N40">
        <v>0</v>
      </c>
      <c r="O40">
        <v>0</v>
      </c>
      <c r="P40">
        <v>1</v>
      </c>
      <c r="Q40">
        <v>16000</v>
      </c>
      <c r="R40">
        <v>123</v>
      </c>
      <c r="S40">
        <v>2</v>
      </c>
      <c r="T40">
        <v>65</v>
      </c>
      <c r="U40">
        <v>47200</v>
      </c>
      <c r="V40">
        <v>208</v>
      </c>
      <c r="W40" s="202" t="s">
        <v>1471</v>
      </c>
    </row>
    <row r="41" spans="1:23">
      <c r="A41" t="s">
        <v>1493</v>
      </c>
      <c r="B41" t="s">
        <v>831</v>
      </c>
      <c r="C41" t="s">
        <v>1494</v>
      </c>
      <c r="D41" t="s">
        <v>969</v>
      </c>
      <c r="E41" t="s">
        <v>937</v>
      </c>
      <c r="F41" t="s">
        <v>947</v>
      </c>
      <c r="G41" t="s">
        <v>1470</v>
      </c>
      <c r="H41">
        <v>7</v>
      </c>
      <c r="I41">
        <v>0</v>
      </c>
      <c r="J41">
        <v>0</v>
      </c>
      <c r="K41" t="s">
        <v>228</v>
      </c>
      <c r="L41" t="s">
        <v>724</v>
      </c>
      <c r="N41">
        <v>0</v>
      </c>
      <c r="O41">
        <v>0</v>
      </c>
      <c r="P41">
        <v>1</v>
      </c>
      <c r="Q41">
        <v>23400</v>
      </c>
      <c r="R41">
        <v>179</v>
      </c>
      <c r="S41">
        <v>7</v>
      </c>
      <c r="T41">
        <v>94</v>
      </c>
      <c r="U41">
        <v>65490</v>
      </c>
      <c r="V41">
        <v>208</v>
      </c>
      <c r="W41" s="202" t="s">
        <v>1471</v>
      </c>
    </row>
    <row r="42" spans="1:23">
      <c r="A42" t="s">
        <v>1495</v>
      </c>
      <c r="B42" t="s">
        <v>831</v>
      </c>
      <c r="C42" t="s">
        <v>1494</v>
      </c>
      <c r="D42" t="s">
        <v>969</v>
      </c>
      <c r="E42" t="s">
        <v>937</v>
      </c>
      <c r="F42" t="s">
        <v>947</v>
      </c>
      <c r="G42" t="s">
        <v>1470</v>
      </c>
      <c r="H42">
        <v>7</v>
      </c>
      <c r="I42">
        <v>0</v>
      </c>
      <c r="J42">
        <v>0</v>
      </c>
      <c r="K42" t="s">
        <v>739</v>
      </c>
      <c r="L42" t="s">
        <v>724</v>
      </c>
      <c r="N42">
        <v>0</v>
      </c>
      <c r="O42">
        <v>0</v>
      </c>
      <c r="P42">
        <v>1</v>
      </c>
      <c r="Q42">
        <v>23400</v>
      </c>
      <c r="R42">
        <v>179</v>
      </c>
      <c r="S42">
        <v>7</v>
      </c>
      <c r="T42">
        <v>94</v>
      </c>
      <c r="U42">
        <v>65490</v>
      </c>
      <c r="V42">
        <v>208</v>
      </c>
      <c r="W42" s="202" t="s">
        <v>1471</v>
      </c>
    </row>
    <row r="43" spans="1:23">
      <c r="A43" t="s">
        <v>967</v>
      </c>
      <c r="B43" t="s">
        <v>831</v>
      </c>
      <c r="C43" t="s">
        <v>968</v>
      </c>
      <c r="D43" t="s">
        <v>969</v>
      </c>
      <c r="E43" t="s">
        <v>937</v>
      </c>
      <c r="F43" t="s">
        <v>947</v>
      </c>
      <c r="G43" t="s">
        <v>948</v>
      </c>
      <c r="H43">
        <v>7</v>
      </c>
      <c r="I43">
        <v>0</v>
      </c>
      <c r="J43">
        <v>0</v>
      </c>
      <c r="K43" t="s">
        <v>228</v>
      </c>
      <c r="L43" t="s">
        <v>724</v>
      </c>
      <c r="N43">
        <v>0</v>
      </c>
      <c r="O43">
        <v>0</v>
      </c>
      <c r="P43">
        <v>1</v>
      </c>
      <c r="Q43">
        <v>34000</v>
      </c>
      <c r="R43">
        <v>262</v>
      </c>
      <c r="S43">
        <v>4</v>
      </c>
      <c r="T43">
        <v>138</v>
      </c>
      <c r="U43">
        <v>100300</v>
      </c>
      <c r="V43">
        <v>208</v>
      </c>
      <c r="W43" s="202">
        <v>25.1</v>
      </c>
    </row>
    <row r="44" spans="1:23">
      <c r="A44" t="s">
        <v>970</v>
      </c>
      <c r="B44" t="s">
        <v>831</v>
      </c>
      <c r="C44" t="s">
        <v>968</v>
      </c>
      <c r="D44" t="s">
        <v>969</v>
      </c>
      <c r="E44" t="s">
        <v>937</v>
      </c>
      <c r="F44" t="s">
        <v>947</v>
      </c>
      <c r="G44" t="s">
        <v>948</v>
      </c>
      <c r="H44">
        <v>7</v>
      </c>
      <c r="I44">
        <v>0</v>
      </c>
      <c r="J44">
        <v>0</v>
      </c>
      <c r="K44" t="s">
        <v>739</v>
      </c>
      <c r="L44" t="s">
        <v>724</v>
      </c>
      <c r="N44">
        <v>0</v>
      </c>
      <c r="O44">
        <v>0</v>
      </c>
      <c r="P44">
        <v>1</v>
      </c>
      <c r="Q44">
        <v>34000</v>
      </c>
      <c r="R44">
        <v>262</v>
      </c>
      <c r="S44">
        <v>4</v>
      </c>
      <c r="T44">
        <v>138</v>
      </c>
      <c r="U44">
        <v>100300</v>
      </c>
      <c r="V44">
        <v>208</v>
      </c>
      <c r="W44" s="202">
        <v>25.1</v>
      </c>
    </row>
    <row r="45" spans="1:23">
      <c r="A45" t="s">
        <v>971</v>
      </c>
      <c r="B45" t="s">
        <v>831</v>
      </c>
      <c r="C45" t="s">
        <v>972</v>
      </c>
      <c r="D45" t="s">
        <v>969</v>
      </c>
      <c r="E45" t="s">
        <v>937</v>
      </c>
      <c r="F45" t="s">
        <v>832</v>
      </c>
      <c r="G45" t="s">
        <v>833</v>
      </c>
      <c r="H45">
        <v>7</v>
      </c>
      <c r="I45">
        <v>0</v>
      </c>
      <c r="J45">
        <v>0</v>
      </c>
      <c r="K45" t="s">
        <v>228</v>
      </c>
      <c r="L45" t="s">
        <v>724</v>
      </c>
      <c r="N45">
        <v>0</v>
      </c>
      <c r="O45">
        <v>0</v>
      </c>
      <c r="P45">
        <v>1</v>
      </c>
      <c r="Q45">
        <v>34000</v>
      </c>
      <c r="R45">
        <v>262</v>
      </c>
      <c r="S45">
        <v>4</v>
      </c>
      <c r="T45">
        <v>138</v>
      </c>
      <c r="U45">
        <v>100300</v>
      </c>
      <c r="V45">
        <v>254</v>
      </c>
      <c r="W45" s="202">
        <v>25.1</v>
      </c>
    </row>
    <row r="46" spans="1:23">
      <c r="A46" t="s">
        <v>973</v>
      </c>
      <c r="B46" t="s">
        <v>831</v>
      </c>
      <c r="C46" t="s">
        <v>972</v>
      </c>
      <c r="D46" t="s">
        <v>969</v>
      </c>
      <c r="E46" t="s">
        <v>937</v>
      </c>
      <c r="F46" t="s">
        <v>832</v>
      </c>
      <c r="G46" t="s">
        <v>833</v>
      </c>
      <c r="H46">
        <v>7</v>
      </c>
      <c r="I46">
        <v>0</v>
      </c>
      <c r="J46">
        <v>0</v>
      </c>
      <c r="K46" t="s">
        <v>739</v>
      </c>
      <c r="L46" t="s">
        <v>724</v>
      </c>
      <c r="N46">
        <v>0</v>
      </c>
      <c r="O46">
        <v>0</v>
      </c>
      <c r="P46">
        <v>1</v>
      </c>
      <c r="Q46">
        <v>34000</v>
      </c>
      <c r="R46">
        <v>262</v>
      </c>
      <c r="S46">
        <v>4</v>
      </c>
      <c r="T46">
        <v>138</v>
      </c>
      <c r="U46">
        <v>100300</v>
      </c>
      <c r="V46">
        <v>254</v>
      </c>
      <c r="W46" s="202">
        <v>25.1</v>
      </c>
    </row>
    <row r="47" spans="1:23">
      <c r="A47" t="s">
        <v>974</v>
      </c>
      <c r="B47" t="s">
        <v>831</v>
      </c>
      <c r="C47" t="s">
        <v>975</v>
      </c>
      <c r="D47" t="s">
        <v>969</v>
      </c>
      <c r="E47" t="s">
        <v>937</v>
      </c>
      <c r="F47" t="s">
        <v>947</v>
      </c>
      <c r="G47" t="s">
        <v>948</v>
      </c>
      <c r="H47">
        <v>7</v>
      </c>
      <c r="I47">
        <v>0</v>
      </c>
      <c r="J47">
        <v>0</v>
      </c>
      <c r="K47" t="s">
        <v>228</v>
      </c>
      <c r="L47" t="s">
        <v>724</v>
      </c>
      <c r="N47">
        <v>0</v>
      </c>
      <c r="O47">
        <v>0</v>
      </c>
      <c r="P47">
        <v>1</v>
      </c>
      <c r="Q47">
        <v>45800</v>
      </c>
      <c r="R47">
        <v>353</v>
      </c>
      <c r="S47">
        <v>4</v>
      </c>
      <c r="T47">
        <v>184</v>
      </c>
      <c r="U47">
        <v>135110</v>
      </c>
      <c r="V47">
        <v>208</v>
      </c>
      <c r="W47" s="202">
        <v>25.1</v>
      </c>
    </row>
    <row r="48" spans="1:23">
      <c r="A48" t="s">
        <v>976</v>
      </c>
      <c r="B48" t="s">
        <v>831</v>
      </c>
      <c r="C48" t="s">
        <v>975</v>
      </c>
      <c r="D48" t="s">
        <v>969</v>
      </c>
      <c r="E48" t="s">
        <v>937</v>
      </c>
      <c r="F48" t="s">
        <v>947</v>
      </c>
      <c r="G48" t="s">
        <v>948</v>
      </c>
      <c r="H48">
        <v>7</v>
      </c>
      <c r="I48">
        <v>0</v>
      </c>
      <c r="J48">
        <v>0</v>
      </c>
      <c r="K48" t="s">
        <v>739</v>
      </c>
      <c r="L48" t="s">
        <v>724</v>
      </c>
      <c r="N48">
        <v>0</v>
      </c>
      <c r="O48">
        <v>0</v>
      </c>
      <c r="P48">
        <v>1</v>
      </c>
      <c r="Q48">
        <v>45800</v>
      </c>
      <c r="R48">
        <v>353</v>
      </c>
      <c r="S48">
        <v>4</v>
      </c>
      <c r="T48">
        <v>184</v>
      </c>
      <c r="U48">
        <v>135110</v>
      </c>
      <c r="V48">
        <v>208</v>
      </c>
      <c r="W48" s="202">
        <v>25.1</v>
      </c>
    </row>
    <row r="49" spans="1:23">
      <c r="A49" t="s">
        <v>977</v>
      </c>
      <c r="B49" t="s">
        <v>831</v>
      </c>
      <c r="C49" t="s">
        <v>978</v>
      </c>
      <c r="D49" t="s">
        <v>969</v>
      </c>
      <c r="E49" t="s">
        <v>937</v>
      </c>
      <c r="F49" t="s">
        <v>832</v>
      </c>
      <c r="G49" t="s">
        <v>833</v>
      </c>
      <c r="H49">
        <v>7</v>
      </c>
      <c r="I49">
        <v>0</v>
      </c>
      <c r="J49">
        <v>0</v>
      </c>
      <c r="K49" t="s">
        <v>228</v>
      </c>
      <c r="L49" t="s">
        <v>724</v>
      </c>
      <c r="N49">
        <v>0</v>
      </c>
      <c r="O49">
        <v>0</v>
      </c>
      <c r="P49">
        <v>1</v>
      </c>
      <c r="Q49">
        <v>45800</v>
      </c>
      <c r="R49">
        <v>353</v>
      </c>
      <c r="S49">
        <v>4</v>
      </c>
      <c r="T49">
        <v>184</v>
      </c>
      <c r="U49">
        <v>135110</v>
      </c>
      <c r="V49">
        <v>254</v>
      </c>
      <c r="W49" s="202">
        <v>25.1</v>
      </c>
    </row>
    <row r="50" spans="1:23">
      <c r="A50" t="s">
        <v>979</v>
      </c>
      <c r="B50" t="s">
        <v>831</v>
      </c>
      <c r="C50" t="s">
        <v>978</v>
      </c>
      <c r="D50" t="s">
        <v>969</v>
      </c>
      <c r="E50" t="s">
        <v>937</v>
      </c>
      <c r="F50" t="s">
        <v>832</v>
      </c>
      <c r="G50" t="s">
        <v>833</v>
      </c>
      <c r="H50">
        <v>7</v>
      </c>
      <c r="I50">
        <v>0</v>
      </c>
      <c r="J50">
        <v>0</v>
      </c>
      <c r="K50" t="s">
        <v>739</v>
      </c>
      <c r="L50" t="s">
        <v>724</v>
      </c>
      <c r="N50">
        <v>0</v>
      </c>
      <c r="O50">
        <v>0</v>
      </c>
      <c r="P50">
        <v>1</v>
      </c>
      <c r="Q50">
        <v>45800</v>
      </c>
      <c r="R50">
        <v>353</v>
      </c>
      <c r="S50">
        <v>4</v>
      </c>
      <c r="T50">
        <v>184</v>
      </c>
      <c r="U50">
        <v>135110</v>
      </c>
      <c r="V50">
        <v>254</v>
      </c>
      <c r="W50" s="202">
        <v>25.1</v>
      </c>
    </row>
  </sheetData>
  <sheetProtection selectLockedCells="1" selectUnlockedCells="1"/>
  <phoneticPr fontId="18"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E9643-93F4-4BE8-BCD7-F06E79ED0D87}">
  <sheetPr codeName="Sheet17"/>
  <dimension ref="A2:AY12"/>
  <sheetViews>
    <sheetView workbookViewId="0">
      <selection activeCell="E52" sqref="E52"/>
    </sheetView>
  </sheetViews>
  <sheetFormatPr defaultColWidth="8.90625" defaultRowHeight="14.5"/>
  <cols>
    <col min="1" max="1" width="10.81640625" bestFit="1" customWidth="1"/>
    <col min="2" max="2" width="22.1796875" bestFit="1" customWidth="1"/>
    <col min="3" max="3" width="9.81640625" bestFit="1" customWidth="1"/>
    <col min="4" max="4" width="39.08984375" bestFit="1" customWidth="1"/>
    <col min="5" max="5" width="46.453125" bestFit="1" customWidth="1"/>
    <col min="6" max="6" width="42.08984375" bestFit="1" customWidth="1"/>
  </cols>
  <sheetData>
    <row r="2" spans="1:51">
      <c r="B2" t="s">
        <v>986</v>
      </c>
    </row>
    <row r="3" spans="1:51">
      <c r="B3" s="1" t="s">
        <v>229</v>
      </c>
    </row>
    <row r="4" spans="1:51">
      <c r="A4" t="s">
        <v>230</v>
      </c>
      <c r="B4" s="1" t="s">
        <v>231</v>
      </c>
      <c r="D4" t="s">
        <v>232</v>
      </c>
    </row>
    <row r="5" spans="1:51">
      <c r="B5" t="s">
        <v>213</v>
      </c>
      <c r="C5" t="s">
        <v>233</v>
      </c>
      <c r="D5" t="str" cm="1">
        <f t="array" ref="D5:F5">CreateDSTDropList(tblOPNAgx[Family Variant])</f>
        <v>C-Series with HPS EMIF MIPI PUF Attestation</v>
      </c>
      <c r="E5" t="str">
        <v>C-Series without HPS with EMIF MIPI PUF Attestation</v>
      </c>
      <c r="F5" t="str">
        <v>C-Series without HPS EMIF MIPI PUF Attestation</v>
      </c>
    </row>
    <row r="6" spans="1:51">
      <c r="B6" t="s">
        <v>214</v>
      </c>
      <c r="C6" t="s">
        <v>234</v>
      </c>
      <c r="D6" t="str" cm="1">
        <f t="array" ref="D6:E6">CreateDSTDropList(tblOPNAgx[Package Code])</f>
        <v>896A</v>
      </c>
      <c r="E6" t="str">
        <v>474A</v>
      </c>
    </row>
    <row r="7" spans="1:51">
      <c r="B7" t="s">
        <v>6</v>
      </c>
      <c r="C7" t="s">
        <v>235</v>
      </c>
      <c r="D7" t="str" cm="1">
        <f t="array" ref="D7:H7">CreateDSTDropList(tblOPNAgx[Logic Elements])</f>
        <v>100300</v>
      </c>
      <c r="E7" t="str">
        <v>135110</v>
      </c>
      <c r="F7" t="str">
        <v>25075</v>
      </c>
      <c r="G7" t="str">
        <v>47200</v>
      </c>
      <c r="H7" t="str">
        <v>65490</v>
      </c>
    </row>
    <row r="8" spans="1:51">
      <c r="B8" t="s">
        <v>8</v>
      </c>
      <c r="C8" t="s">
        <v>236</v>
      </c>
      <c r="D8" t="str" cm="1">
        <f t="array" ref="D8:H8">CreateDSTDropList(tblOPNAgx[DSP Blocks])</f>
        <v>138</v>
      </c>
      <c r="E8" t="str">
        <v>184</v>
      </c>
      <c r="F8" t="str">
        <v>34</v>
      </c>
      <c r="G8" t="str">
        <v>65</v>
      </c>
      <c r="H8" t="str">
        <v>94</v>
      </c>
    </row>
    <row r="9" spans="1:51">
      <c r="B9" t="s">
        <v>9</v>
      </c>
      <c r="C9" t="s">
        <v>237</v>
      </c>
      <c r="D9" t="str" cm="1">
        <f t="array" ref="D9:H9">CreateDSTDropList(tblOPNAgx[M20K Memory Blocks])</f>
        <v>262</v>
      </c>
      <c r="E9" t="str">
        <v>353</v>
      </c>
      <c r="F9" t="str">
        <v>65</v>
      </c>
      <c r="G9" t="str">
        <v>123</v>
      </c>
      <c r="H9" t="str">
        <v>179</v>
      </c>
    </row>
    <row r="10" spans="1:51">
      <c r="B10" t="s">
        <v>10</v>
      </c>
      <c r="C10" t="s">
        <v>238</v>
      </c>
      <c r="D10" t="str" cm="1">
        <f t="array" ref="D10:E10">CreateDSTDropList(tblOPNAgx[Maximum User I/O count])</f>
        <v>254</v>
      </c>
      <c r="E10" t="str">
        <v>208</v>
      </c>
    </row>
    <row r="11" spans="1:51">
      <c r="B11" t="s">
        <v>11</v>
      </c>
      <c r="C11" t="s">
        <v>239</v>
      </c>
      <c r="D11" t="str" cm="1">
        <f t="array" ref="D11:E11">CreateDSTDropList(tblOPNAgx[Temperature Grade])</f>
        <v>EXTENDED</v>
      </c>
      <c r="E11" t="str">
        <v>INDUSTRIAL</v>
      </c>
    </row>
    <row r="12" spans="1:51">
      <c r="B12" t="s">
        <v>5</v>
      </c>
      <c r="C12" t="s">
        <v>240</v>
      </c>
      <c r="D12" t="str" cm="1">
        <f t="array" ref="D12:AY12">CreateDSTDropList(tblOPNAgx[OPN])</f>
        <v>A3CW100BM16AE6S</v>
      </c>
      <c r="E12" t="str">
        <v>A3CW100BM16AI6S</v>
      </c>
      <c r="F12" t="str">
        <v>A3CW135BM16AE6S</v>
      </c>
      <c r="G12" t="str">
        <v>A3CW135BM16AE6SR0</v>
      </c>
      <c r="H12" t="str">
        <v>A3CW135BM16AI6S</v>
      </c>
      <c r="I12" t="str">
        <v>A3CY025BB18AE6S</v>
      </c>
      <c r="J12" t="str">
        <v>A3CY025BB18AE7S</v>
      </c>
      <c r="K12" t="str">
        <v>A3CY025BB18AI6S</v>
      </c>
      <c r="L12" t="str">
        <v>A3CY025BB18AI7S</v>
      </c>
      <c r="M12" t="str">
        <v>A3CY050BB18AE6S</v>
      </c>
      <c r="N12" t="str">
        <v>A3CY050BB18AE7S</v>
      </c>
      <c r="O12" t="str">
        <v>A3CY050BB18AI6S</v>
      </c>
      <c r="P12" t="str">
        <v>A3CY050BB18AI7S</v>
      </c>
      <c r="Q12" t="str">
        <v>A3CY065BB18AE6S</v>
      </c>
      <c r="R12" t="str">
        <v>A3CY065BB18AE7S</v>
      </c>
      <c r="S12" t="str">
        <v>A3CY065BB18AI6S</v>
      </c>
      <c r="T12" t="str">
        <v>A3CY065BB18AI7S</v>
      </c>
      <c r="U12" t="str">
        <v>A3CY100BB18AE6S</v>
      </c>
      <c r="V12" t="str">
        <v>A3CY100BB18AE7S</v>
      </c>
      <c r="W12" t="str">
        <v>A3CY100BB18AI6S</v>
      </c>
      <c r="X12" t="str">
        <v>A3CY100BB18AI7S</v>
      </c>
      <c r="Y12" t="str">
        <v>A3CY100BM16AE6S</v>
      </c>
      <c r="Z12" t="str">
        <v>A3CY100BM16AE7S</v>
      </c>
      <c r="AA12" t="str">
        <v>A3CY100BM16AI6S</v>
      </c>
      <c r="AB12" t="str">
        <v>A3CY100BM16AI7S</v>
      </c>
      <c r="AC12" t="str">
        <v>A3CY135BB18AE6S</v>
      </c>
      <c r="AD12" t="str">
        <v>A3CY135BB18AE6SR0</v>
      </c>
      <c r="AE12" t="str">
        <v>A3CY135BB18AE7S</v>
      </c>
      <c r="AF12" t="str">
        <v>A3CY135BB18AI6S</v>
      </c>
      <c r="AG12" t="str">
        <v>A3CY135BB18AI7S</v>
      </c>
      <c r="AH12" t="str">
        <v>A3CY135BM16AE6S</v>
      </c>
      <c r="AI12" t="str">
        <v>A3CY135BM16AE7S</v>
      </c>
      <c r="AJ12" t="str">
        <v>A3CY135BM16AI6S</v>
      </c>
      <c r="AK12" t="str">
        <v>A3CY135BM16AI7S</v>
      </c>
      <c r="AL12" t="str">
        <v>A3CZ025BB18AE7S</v>
      </c>
      <c r="AM12" t="str">
        <v>A3CZ025BB18AI7S</v>
      </c>
      <c r="AN12" t="str">
        <v>A3CZ050BB18AE7S</v>
      </c>
      <c r="AO12" t="str">
        <v>A3CZ050BB18AI7S</v>
      </c>
      <c r="AP12" t="str">
        <v>A3CZ065BB18AE7S</v>
      </c>
      <c r="AQ12" t="str">
        <v>A3CZ065BB18AI7S</v>
      </c>
      <c r="AR12" t="str">
        <v>A3CZ100BB18AE7S</v>
      </c>
      <c r="AS12" t="str">
        <v>A3CZ100BB18AI7S</v>
      </c>
      <c r="AT12" t="str">
        <v>A3CZ100BM16AE7S</v>
      </c>
      <c r="AU12" t="str">
        <v>A3CZ100BM16AI7S</v>
      </c>
      <c r="AV12" t="str">
        <v>A3CZ135BB18AE7S</v>
      </c>
      <c r="AW12" t="str">
        <v>A3CZ135BB18AI7S</v>
      </c>
      <c r="AX12" t="str">
        <v>A3CZ135BM16AE7S</v>
      </c>
      <c r="AY12" t="str">
        <v>A3CZ135BM16AI7S</v>
      </c>
    </row>
  </sheetData>
  <sheetProtection selectLockedCells="1" selectUnlockedCells="1"/>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D8848-3B00-435B-84DF-A4331C0DE65D}">
  <sheetPr codeName="Sheet19"/>
  <dimension ref="B1:C9"/>
  <sheetViews>
    <sheetView zoomScale="70" zoomScaleNormal="70" workbookViewId="0">
      <selection activeCell="C17" sqref="C17"/>
    </sheetView>
  </sheetViews>
  <sheetFormatPr defaultColWidth="8.90625" defaultRowHeight="14.5"/>
  <cols>
    <col min="1" max="1" width="10.81640625" bestFit="1" customWidth="1"/>
    <col min="2" max="2" width="22.1796875" style="3" bestFit="1" customWidth="1"/>
    <col min="3" max="3" width="139" customWidth="1"/>
    <col min="4" max="4" width="27.453125" bestFit="1" customWidth="1"/>
    <col min="5" max="5" width="14.453125" customWidth="1"/>
  </cols>
  <sheetData>
    <row r="1" spans="2:3">
      <c r="B1" s="48" t="s">
        <v>241</v>
      </c>
      <c r="C1" s="47" t="s">
        <v>242</v>
      </c>
    </row>
    <row r="2" spans="2:3">
      <c r="B2" s="48" t="s">
        <v>213</v>
      </c>
      <c r="C2" s="48" t="s">
        <v>980</v>
      </c>
    </row>
    <row r="3" spans="2:3" ht="42.5">
      <c r="B3" s="48" t="s">
        <v>214</v>
      </c>
      <c r="C3" s="49" t="s">
        <v>981</v>
      </c>
    </row>
    <row r="4" spans="2:3" ht="168.5">
      <c r="B4" s="48" t="s">
        <v>6</v>
      </c>
      <c r="C4" s="49" t="s">
        <v>983</v>
      </c>
    </row>
    <row r="5" spans="2:3" ht="259.5" customHeight="1">
      <c r="B5" s="48" t="s">
        <v>8</v>
      </c>
      <c r="C5" s="49" t="s">
        <v>985</v>
      </c>
    </row>
    <row r="6" spans="2:3">
      <c r="B6" s="48" t="s">
        <v>9</v>
      </c>
      <c r="C6" s="49" t="s">
        <v>984</v>
      </c>
    </row>
    <row r="7" spans="2:3" ht="28.5">
      <c r="B7" s="48" t="s">
        <v>10</v>
      </c>
      <c r="C7" s="49" t="s">
        <v>982</v>
      </c>
    </row>
    <row r="8" spans="2:3">
      <c r="B8" s="48" t="s">
        <v>11</v>
      </c>
      <c r="C8" s="49"/>
    </row>
    <row r="9" spans="2:3">
      <c r="B9" s="48" t="s">
        <v>5</v>
      </c>
      <c r="C9" s="47"/>
    </row>
  </sheetData>
  <sheetProtection selectLockedCells="1" selectUnlockedCells="1"/>
  <phoneticPr fontId="18"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3D5E7-D5BD-4C23-AC2D-F4C404561FA7}">
  <sheetPr codeName="Sheet5"/>
  <dimension ref="A1:H60"/>
  <sheetViews>
    <sheetView topLeftCell="A16" zoomScale="70" zoomScaleNormal="70" workbookViewId="0">
      <selection activeCell="C20" sqref="C20"/>
    </sheetView>
  </sheetViews>
  <sheetFormatPr defaultColWidth="8.81640625" defaultRowHeight="30" customHeight="1"/>
  <cols>
    <col min="1" max="1" width="44.6328125" style="4" customWidth="1"/>
    <col min="2" max="2" width="84.453125" style="4" bestFit="1" customWidth="1"/>
    <col min="3" max="3" width="68.54296875" style="4" bestFit="1" customWidth="1"/>
    <col min="4" max="4" width="14.81640625" style="4" customWidth="1"/>
    <col min="5" max="7" width="11.453125" style="4" customWidth="1"/>
    <col min="8" max="8" width="8.81640625" style="4"/>
    <col min="9" max="10" width="11.453125" style="4" customWidth="1"/>
    <col min="11" max="12" width="12.453125" style="4" customWidth="1"/>
    <col min="13" max="13" width="11.453125" style="4" customWidth="1"/>
    <col min="14" max="14" width="10.54296875" style="4" customWidth="1"/>
    <col min="15" max="15" width="11.81640625" style="4" customWidth="1"/>
    <col min="16" max="16" width="11.1796875" style="4" customWidth="1"/>
    <col min="17" max="17" width="12.453125" style="4" customWidth="1"/>
    <col min="18" max="18" width="11.81640625" style="4" customWidth="1"/>
    <col min="19" max="19" width="11.1796875" style="4" customWidth="1"/>
    <col min="20" max="21" width="8.81640625" style="4"/>
    <col min="22" max="22" width="16.1796875" style="4" customWidth="1"/>
    <col min="23" max="23" width="11.1796875" style="4" customWidth="1"/>
    <col min="24" max="37" width="8.81640625" style="4"/>
    <col min="38" max="38" width="11.453125" style="4" customWidth="1"/>
    <col min="39" max="39" width="12.54296875" style="4" customWidth="1"/>
    <col min="40" max="40" width="10.81640625" style="4" customWidth="1"/>
    <col min="41" max="16384" width="8.81640625" style="4"/>
  </cols>
  <sheetData>
    <row r="1" spans="1:8" ht="30" customHeight="1">
      <c r="A1" s="267" t="s">
        <v>243</v>
      </c>
      <c r="B1" s="267"/>
      <c r="C1" s="267"/>
      <c r="D1" s="267"/>
      <c r="E1" s="267"/>
      <c r="F1" s="267"/>
      <c r="G1" s="267"/>
      <c r="H1" s="267"/>
    </row>
    <row r="2" spans="1:8" ht="30" customHeight="1">
      <c r="A2" s="29" t="str">
        <f>DevSel!$D$23</f>
        <v>A3CW135BM16AI6S</v>
      </c>
      <c r="B2" s="29"/>
      <c r="C2" s="29"/>
      <c r="D2" s="29" t="str">
        <f>MID($A$2,1,3)</f>
        <v>A3C</v>
      </c>
      <c r="E2" s="29" t="str">
        <f>MID($A$2,5,3)</f>
        <v>135</v>
      </c>
      <c r="F2" s="29" t="str">
        <f>MID($A$2,9,4)</f>
        <v>M16A</v>
      </c>
      <c r="G2" s="29" t="str">
        <f>$D$2&amp;$E$2&amp;$F$2</f>
        <v>A3C135M16A</v>
      </c>
      <c r="H2" s="4" t="str">
        <f>$D$2&amp;$E$2&amp;$F$2</f>
        <v>A3C135M16A</v>
      </c>
    </row>
    <row r="3" spans="1:8" ht="30" customHeight="1">
      <c r="A3" s="28" t="s">
        <v>244</v>
      </c>
      <c r="B3" s="29" t="s">
        <v>245</v>
      </c>
      <c r="C3" s="29" t="s">
        <v>246</v>
      </c>
      <c r="D3" s="29" t="s">
        <v>247</v>
      </c>
    </row>
    <row r="4" spans="1:8" ht="30" customHeight="1">
      <c r="A4" s="28" t="str">
        <f>VLOOKUP($A$2,tblOPNAgx[[#All],[OPN]:[Device Group]],5,FALSE)</f>
        <v>B</v>
      </c>
      <c r="B4" s="29" t="str">
        <f>MID($A$4,1,6)</f>
        <v>B</v>
      </c>
      <c r="C4" s="29" t="str">
        <f>MID($A$4,7,3)</f>
        <v/>
      </c>
      <c r="D4" s="29" t="str">
        <f>MID($A$4,10,16)</f>
        <v/>
      </c>
    </row>
    <row r="7" spans="1:8" ht="30" customHeight="1">
      <c r="A7" s="267" t="s">
        <v>248</v>
      </c>
      <c r="B7" s="267"/>
      <c r="C7" s="267"/>
      <c r="D7" s="267"/>
      <c r="E7" s="267"/>
      <c r="F7" s="267"/>
      <c r="G7" s="267"/>
      <c r="H7" s="267"/>
    </row>
    <row r="8" spans="1:8" ht="30" customHeight="1">
      <c r="A8" s="4" t="s">
        <v>212</v>
      </c>
      <c r="B8" s="4" t="s">
        <v>249</v>
      </c>
      <c r="C8" s="57" t="s">
        <v>725</v>
      </c>
      <c r="D8" s="57" t="s">
        <v>250</v>
      </c>
    </row>
    <row r="9" spans="1:8" ht="30" customHeight="1">
      <c r="A9" s="4" t="s">
        <v>1458</v>
      </c>
      <c r="B9" s="4">
        <v>1</v>
      </c>
      <c r="C9" s="4" t="str">
        <f>_xlfn.CONCAT("Bottom-side Capacitors :",PWR_ref!K4," ","Periphery Capacitors :",PWR_ref!L4)</f>
        <v>Bottom-side Capacitors :2x 4.7uF 0402 Periphery Capacitors :—</v>
      </c>
      <c r="D9" s="31" t="str">
        <f>PWR_ref!M4</f>
        <v>VR vendors capacitors recommendation must be compiled.</v>
      </c>
    </row>
    <row r="10" spans="1:8" ht="30" customHeight="1">
      <c r="A10" s="199" t="s">
        <v>1459</v>
      </c>
      <c r="B10" s="4">
        <v>1</v>
      </c>
      <c r="C10" s="4" t="str">
        <f>_xlfn.CONCAT("Bottom-side Capacitors :",PWR_ref!K4," ","Periphery Capacitors :",PWR_ref!L4)</f>
        <v>Bottom-side Capacitors :2x 4.7uF 0402 Periphery Capacitors :—</v>
      </c>
      <c r="D10" s="31" t="str">
        <f>PWR_ref!M4</f>
        <v>VR vendors capacitors recommendation must be compiled.</v>
      </c>
    </row>
    <row r="11" spans="1:8" ht="30" customHeight="1">
      <c r="A11" s="175" t="s">
        <v>1460</v>
      </c>
      <c r="B11" s="4">
        <v>1</v>
      </c>
      <c r="C11" s="4" t="str">
        <f>_xlfn.CONCAT("Bottom-side Capacitors :",PWR_ref!K4," ","Periphery Capacitors :",PWR_ref!L4)</f>
        <v>Bottom-side Capacitors :2x 4.7uF 0402 Periphery Capacitors :—</v>
      </c>
      <c r="D11" s="31" t="str">
        <f>PWR_ref!M4</f>
        <v>VR vendors capacitors recommendation must be compiled.</v>
      </c>
    </row>
    <row r="12" spans="1:8" ht="30" customHeight="1">
      <c r="A12" s="4" t="s">
        <v>1126</v>
      </c>
      <c r="B12" s="4">
        <v>2</v>
      </c>
      <c r="C12" s="4" t="str">
        <f>_xlfn.CONCAT("Bottom-side Capacitors :",PWR_ref!K5," ","Periphery Capacitors :",PWR_ref!L5)</f>
        <v>Bottom-side Capacitors :4x 10uF 0402 Periphery Capacitors :—</v>
      </c>
      <c r="D12" s="31" t="str">
        <f>PWR_ref!M5</f>
        <v>VR vendors capacitors recommendation must be compiled.</v>
      </c>
    </row>
    <row r="13" spans="1:8" ht="30" customHeight="1">
      <c r="A13" s="4" t="s">
        <v>1127</v>
      </c>
      <c r="B13" s="4">
        <v>2</v>
      </c>
      <c r="C13" s="4" t="str">
        <f>_xlfn.CONCAT("Bottom-side Capacitors :",PWR_ref!K5," ","Periphery Capacitors :",PWR_ref!L5)</f>
        <v>Bottom-side Capacitors :4x 10uF 0402 Periphery Capacitors :—</v>
      </c>
      <c r="D13" s="31" t="str">
        <f>PWR_ref!M5</f>
        <v>VR vendors capacitors recommendation must be compiled.</v>
      </c>
    </row>
    <row r="14" spans="1:8" ht="30" customHeight="1">
      <c r="A14" s="4" t="s">
        <v>1123</v>
      </c>
      <c r="B14" s="4">
        <v>2</v>
      </c>
      <c r="C14" s="4" t="str">
        <f>_xlfn.CONCAT("Bottom-side Capacitors :",PWR_ref!K5," ","Periphery Capacitors :",PWR_ref!L5)</f>
        <v>Bottom-side Capacitors :4x 10uF 0402 Periphery Capacitors :—</v>
      </c>
      <c r="D14" s="4" t="str">
        <f>PWR_ref!M5</f>
        <v>VR vendors capacitors recommendation must be compiled.</v>
      </c>
    </row>
    <row r="15" spans="1:8" ht="30" customHeight="1">
      <c r="A15" s="4" t="s">
        <v>1124</v>
      </c>
      <c r="B15" s="4">
        <v>2</v>
      </c>
      <c r="C15" s="4" t="str">
        <f>_xlfn.CONCAT("Bottom-side Capacitors :",PWR_ref!K5," ","Periphery Capacitors :",PWR_ref!L5)</f>
        <v>Bottom-side Capacitors :4x 10uF 0402 Periphery Capacitors :—</v>
      </c>
      <c r="D15" s="4" t="str">
        <f>PWR_ref!M5</f>
        <v>VR vendors capacitors recommendation must be compiled.</v>
      </c>
    </row>
    <row r="16" spans="1:8" ht="30" customHeight="1">
      <c r="A16" s="4" t="s">
        <v>1443</v>
      </c>
      <c r="B16" s="4">
        <v>3</v>
      </c>
    </row>
    <row r="17" spans="1:5" ht="30" customHeight="1">
      <c r="A17" s="4" t="s">
        <v>1444</v>
      </c>
      <c r="B17" s="4">
        <v>3</v>
      </c>
    </row>
    <row r="18" spans="1:5" ht="30" customHeight="1">
      <c r="A18" s="4" t="s">
        <v>1445</v>
      </c>
      <c r="B18" s="4">
        <v>4</v>
      </c>
    </row>
    <row r="19" spans="1:5" ht="30" customHeight="1">
      <c r="A19" s="4" t="s">
        <v>1446</v>
      </c>
      <c r="B19" s="4">
        <v>4</v>
      </c>
    </row>
    <row r="20" spans="1:5" ht="30" customHeight="1">
      <c r="A20" s="4" t="s">
        <v>1447</v>
      </c>
      <c r="B20" s="4">
        <v>4</v>
      </c>
    </row>
    <row r="21" spans="1:5" ht="30" customHeight="1">
      <c r="A21" s="4" t="s">
        <v>1448</v>
      </c>
      <c r="B21" s="4">
        <v>5</v>
      </c>
    </row>
    <row r="22" spans="1:5" ht="30" customHeight="1">
      <c r="A22" s="4" t="s">
        <v>1449</v>
      </c>
      <c r="B22" s="4">
        <v>5</v>
      </c>
    </row>
    <row r="23" spans="1:5" ht="30" customHeight="1">
      <c r="A23" s="4" t="s">
        <v>1449</v>
      </c>
      <c r="B23" s="4">
        <v>5</v>
      </c>
    </row>
    <row r="26" spans="1:5" ht="30" customHeight="1">
      <c r="A26" s="267" t="s">
        <v>251</v>
      </c>
      <c r="B26" s="267"/>
      <c r="C26" s="267"/>
      <c r="D26" s="267"/>
      <c r="E26" s="267"/>
    </row>
    <row r="27" spans="1:5" ht="30" customHeight="1">
      <c r="A27" s="4" t="s">
        <v>252</v>
      </c>
      <c r="B27" s="30" t="s">
        <v>725</v>
      </c>
      <c r="C27" s="30" t="s">
        <v>250</v>
      </c>
    </row>
    <row r="28" spans="1:5" ht="30" customHeight="1">
      <c r="A28" s="27" t="s">
        <v>38</v>
      </c>
      <c r="B28" s="32" t="str">
        <f>VLOOKUP($G$2,tblPWR_DCP_device[#All],3,FALSE)</f>
        <v>Bottom-side Capacitors :4x 10uF 0402 Periphery Capacitors :—</v>
      </c>
      <c r="C28" s="32" t="str">
        <f>VLOOKUP($G$2,tblPWR_DCP_device[#All],4,FALSE)</f>
        <v>VR vendors capacitors recommendation must be compiled.</v>
      </c>
    </row>
    <row r="29" spans="1:5" ht="30" customHeight="1">
      <c r="A29" s="27" t="s">
        <v>39</v>
      </c>
      <c r="B29" s="32" t="str">
        <f>VLOOKUP($G$2,tblPWR_DCP_device[#All],3,FALSE)</f>
        <v>Bottom-side Capacitors :4x 10uF 0402 Periphery Capacitors :—</v>
      </c>
      <c r="C29" s="32" t="str">
        <f>VLOOKUP($G$2,tblPWR_DCP_device[#All],4,FALSE)</f>
        <v>VR vendors capacitors recommendation must be compiled.</v>
      </c>
    </row>
    <row r="30" spans="1:5" ht="30" customHeight="1">
      <c r="A30" s="27" t="s">
        <v>40</v>
      </c>
      <c r="B30" s="32" t="str">
        <f>_xlfn.CONCAT("Bottom-side Capacitors :",VLOOKUP(tblPWR_DCP[[#This Row],[Rail Name]],tbl_DCP_source_search,2,FALSE)," ","Periphery Capacitors :",VLOOKUP(tblPWR_DCP[[#This Row],[Rail Name]],tbl_DCP_source_search,3,FALSE))</f>
        <v>Bottom-side Capacitors :2x 4.7uF 0201 Periphery Capacitors :1x 10uF 0402</v>
      </c>
      <c r="C30" s="32" t="str">
        <f>VLOOKUP(tblPWR_DCP[[#This Row],[Rail Name]],tbl_DCP_source_search,4,FALSE)</f>
        <v>—</v>
      </c>
    </row>
    <row r="31" spans="1:5" ht="30" customHeight="1">
      <c r="A31" s="27" t="s">
        <v>41</v>
      </c>
      <c r="B31" s="32" t="str">
        <f>_xlfn.CONCAT("Bottom-side Capacitors :",VLOOKUP(tblPWR_DCP[[#This Row],[Rail Name]],tbl_DCP_source_search,2,FALSE)," ","Periphery Capacitors :",VLOOKUP(tblPWR_DCP[[#This Row],[Rail Name]],tbl_DCP_source_search,3,FALSE))</f>
        <v>Bottom-side Capacitors :1x 1uF 0201 Periphery Capacitors :1x 10uF 0402</v>
      </c>
      <c r="C31" s="32" t="str">
        <f>VLOOKUP(tblPWR_DCP[[#This Row],[Rail Name]],tbl_DCP_source_search,4,FALSE)</f>
        <v>—</v>
      </c>
    </row>
    <row r="32" spans="1:5" ht="30" customHeight="1">
      <c r="A32" s="27" t="s">
        <v>42</v>
      </c>
      <c r="B32" s="32" t="str">
        <f>_xlfn.CONCAT("Bottom-side Capacitors :",VLOOKUP(tblPWR_DCP[[#This Row],[Rail Name]],tbl_DCP_source_search,2,FALSE)," ","Periphery Capacitors :",VLOOKUP(tblPWR_DCP[[#This Row],[Rail Name]],tbl_DCP_source_search,3,FALSE))</f>
        <v>Bottom-side Capacitors :1x 1uF 0201 Periphery Capacitors :—</v>
      </c>
      <c r="C32" s="32" t="str">
        <f>VLOOKUP(tblPWR_DCP[[#This Row],[Rail Name]],tbl_DCP_source_search,4,FALSE)</f>
        <v>—</v>
      </c>
    </row>
    <row r="33" spans="1:3" ht="28">
      <c r="A33" s="27" t="s">
        <v>1466</v>
      </c>
      <c r="B33" s="32" t="str">
        <f>_xlfn.CONCAT("Bottom-side Capacitors :",PWR_ref!K21," ","Periphery Capacitors :",PWR_ref!L21)</f>
        <v>Bottom-side Capacitors :2x 4.7uF 0201 Periphery Capacitors :1x 10uF 0402</v>
      </c>
      <c r="C33" s="32" t="str">
        <f>PWR_ref!M21</f>
        <v>Per IO bank</v>
      </c>
    </row>
    <row r="34" spans="1:3" ht="30" customHeight="1">
      <c r="A34" s="27" t="s">
        <v>43</v>
      </c>
      <c r="B34" s="32" t="str">
        <f>_xlfn.CONCAT("Bottom-side Capacitors :",VLOOKUP(tblPWR_DCP[[#This Row],[Rail Name]],tbl_DCP_source_search,2,FALSE)," ","Periphery Capacitors :",VLOOKUP(tblPWR_DCP[[#This Row],[Rail Name]],tbl_DCP_source_search,3,FALSE))</f>
        <v>Bottom-side Capacitors :1x 1uF 0201 Periphery Capacitors :—</v>
      </c>
      <c r="C34" s="32" t="str">
        <f>VLOOKUP(tblPWR_DCP[[#This Row],[Rail Name]],tbl_DCP_source_search,4,FALSE)</f>
        <v>—</v>
      </c>
    </row>
    <row r="35" spans="1:3" ht="30" customHeight="1">
      <c r="A35" s="27" t="s">
        <v>44</v>
      </c>
      <c r="B35" s="32" t="str">
        <f>_xlfn.CONCAT("Bottom-side Capacitors :",VLOOKUP(tblPWR_DCP[[#This Row],[Rail Name]],tbl_DCP_source_search,2,FALSE)," ","Periphery Capacitors :",VLOOKUP(tblPWR_DCP[[#This Row],[Rail Name]],tbl_DCP_source_search,3,FALSE))</f>
        <v>Bottom-side Capacitors :1x 1uF 0201 Periphery Capacitors :1x 10uF 0402</v>
      </c>
      <c r="C35" s="32" t="str">
        <f>VLOOKUP(tblPWR_DCP[[#This Row],[Rail Name]],tbl_DCP_source_search,4,FALSE)</f>
        <v>—</v>
      </c>
    </row>
    <row r="36" spans="1:3" ht="30" customHeight="1">
      <c r="A36" s="27" t="s">
        <v>45</v>
      </c>
      <c r="B36" s="32" t="str">
        <f>_xlfn.CONCAT("Bottom-side Capacitors :",VLOOKUP(tblPWR_DCP[[#This Row],[Rail Name]],tbl_DCP_source_search,2,FALSE)," ","Periphery Capacitors :",VLOOKUP(tblPWR_DCP[[#This Row],[Rail Name]],tbl_DCP_source_search,3,FALSE))</f>
        <v>Bottom-side Capacitors :1x 1uF 0201 Periphery Capacitors :LC filter capacitors</v>
      </c>
      <c r="C36" s="32" t="str">
        <f>VLOOKUP(tblPWR_DCP[[#This Row],[Rail Name]],tbl_DCP_source_search,4,FALSE)</f>
        <v>—</v>
      </c>
    </row>
    <row r="37" spans="1:3" ht="30" customHeight="1">
      <c r="A37" s="27" t="s">
        <v>46</v>
      </c>
      <c r="B37" s="32" t="str">
        <f>_xlfn.CONCAT("Bottom-side Capacitors :",VLOOKUP(tblPWR_DCP[[#This Row],[Rail Name]],tbl_DCP_source_search,2,FALSE)," ","Periphery Capacitors :",VLOOKUP(tblPWR_DCP[[#This Row],[Rail Name]],tbl_DCP_source_search,3,FALSE))</f>
        <v>Bottom-side Capacitors :2x 1uF 0201 Periphery Capacitors :—</v>
      </c>
      <c r="C37" s="32" t="str">
        <f>VLOOKUP(tblPWR_DCP[[#This Row],[Rail Name]],tbl_DCP_source_search,4,FALSE)</f>
        <v>—</v>
      </c>
    </row>
    <row r="38" spans="1:3" ht="30" customHeight="1">
      <c r="A38" s="27"/>
      <c r="B38" s="6"/>
      <c r="C38" s="6"/>
    </row>
    <row r="39" spans="1:3" ht="30" customHeight="1">
      <c r="A39" s="27" t="s">
        <v>47</v>
      </c>
      <c r="B39" s="32" t="str">
        <f>_xlfn.CONCAT("Bottom-side Capacitors :",VLOOKUP(tblPWR_DCP[[#This Row],[Rail Name]],tbl_DCP_source_search,2,FALSE)," ","Periphery Capacitors :",VLOOKUP(tblPWR_DCP[[#This Row],[Rail Name]],tbl_DCP_source_search,3,FALSE))</f>
        <v>Bottom-side Capacitors :1x 1uF 0201 Periphery Capacitors :LC filter capacitors</v>
      </c>
      <c r="C39" s="32" t="str">
        <f>VLOOKUP(tblPWR_DCP[[#This Row],[Rail Name]],tbl_DCP_source_search,4,FALSE)</f>
        <v>—</v>
      </c>
    </row>
    <row r="40" spans="1:3" ht="30" customHeight="1">
      <c r="A40" s="27" t="s">
        <v>48</v>
      </c>
      <c r="B40" s="6" t="s">
        <v>265</v>
      </c>
      <c r="C40" s="6" t="s">
        <v>265</v>
      </c>
    </row>
    <row r="41" spans="1:3" ht="30" customHeight="1">
      <c r="A41" s="27" t="s">
        <v>49</v>
      </c>
      <c r="B41" s="6" t="s">
        <v>265</v>
      </c>
      <c r="C41" s="6" t="s">
        <v>265</v>
      </c>
    </row>
    <row r="42" spans="1:3" ht="30" customHeight="1">
      <c r="A42" s="27" t="s">
        <v>50</v>
      </c>
      <c r="B42" s="6" t="s">
        <v>265</v>
      </c>
      <c r="C42" s="6" t="s">
        <v>265</v>
      </c>
    </row>
    <row r="43" spans="1:3" ht="30" customHeight="1">
      <c r="A43" s="27" t="s">
        <v>51</v>
      </c>
      <c r="B43" s="32" t="str">
        <f>_xlfn.CONCAT("Bottom-side Capacitors :",VLOOKUP(tblPWR_DCP[[#This Row],[Rail Name]],tbl_DCP_source_search,2,FALSE)," ","Periphery Capacitors :",VLOOKUP(tblPWR_DCP[[#This Row],[Rail Name]],tbl_DCP_source_search,3,FALSE))</f>
        <v>Bottom-side Capacitors :1x 1uF 0201 Periphery Capacitors :LC filter capacitors</v>
      </c>
      <c r="C43" s="32" t="str">
        <f>VLOOKUP(tblPWR_DCP[[#This Row],[Rail Name]],tbl_DCP_source_search,4,FALSE)</f>
        <v>—</v>
      </c>
    </row>
    <row r="44" spans="1:3" ht="30" customHeight="1">
      <c r="A44" s="27" t="s">
        <v>52</v>
      </c>
      <c r="B44" s="32" t="str">
        <f>_xlfn.CONCAT("Bottom-side Capacitors :",VLOOKUP(tblPWR_DCP[[#This Row],[Rail Name]],tbl_DCP_source_search,2,FALSE)," ","Periphery Capacitors :",VLOOKUP(tblPWR_DCP[[#This Row],[Rail Name]],tbl_DCP_source_search,3,FALSE))</f>
        <v>Bottom-side Capacitors :1x 1uF 0201 Periphery Capacitors :1x 4.7uF 0402</v>
      </c>
      <c r="C44" s="32" t="str">
        <f>VLOOKUP(tblPWR_DCP[[#This Row],[Rail Name]],tbl_DCP_source_search,4,FALSE)</f>
        <v>—</v>
      </c>
    </row>
    <row r="45" spans="1:3" ht="30" customHeight="1">
      <c r="A45" s="27" t="s">
        <v>692</v>
      </c>
      <c r="B45" s="32" t="str">
        <f>_xlfn.CONCAT("Bottom-side Capacitors :",VLOOKUP(tblPWR_DCP[[#This Row],[Rail Name]],tbl_DCP_source_search,2,FALSE)," ","Periphery Capacitors :",VLOOKUP(tblPWR_DCP[[#This Row],[Rail Name]],tbl_DCP_source_search,3,FALSE))</f>
        <v>Bottom-side Capacitors :2x 1uF 0201 Periphery Capacitors :—</v>
      </c>
      <c r="C45" s="32" t="str">
        <f>VLOOKUP(tblPWR_DCP[[#This Row],[Rail Name]],tbl_DCP_source_search,4,FALSE)</f>
        <v>Per IO bank</v>
      </c>
    </row>
    <row r="46" spans="1:3" ht="30" customHeight="1">
      <c r="A46" s="27" t="s">
        <v>693</v>
      </c>
      <c r="B46" s="32" t="str">
        <f>_xlfn.CONCAT("Bottom-side Capacitors :",VLOOKUP(tblPWR_DCP[[#This Row],[Rail Name]],tbl_DCP_source_search,2,FALSE)," ","Periphery Capacitors :",VLOOKUP(tblPWR_DCP[[#This Row],[Rail Name]],tbl_DCP_source_search,3,FALSE))</f>
        <v>Bottom-side Capacitors :1x 1uF 0201 Periphery Capacitors :—</v>
      </c>
      <c r="C46" s="32" t="str">
        <f>VLOOKUP(tblPWR_DCP[[#This Row],[Rail Name]],tbl_DCP_source_search,4,FALSE)</f>
        <v>Per IO bank</v>
      </c>
    </row>
    <row r="47" spans="1:3" ht="30" customHeight="1">
      <c r="A47" s="27" t="s">
        <v>885</v>
      </c>
      <c r="B47" s="32" t="str">
        <f>_xlfn.CONCAT("Bottom-side Capacitors :",VLOOKUP(tblPWR_DCP[[#This Row],[Rail Name]],tbl_DCP_source_search,2,FALSE)," ","Periphery Capacitors :",VLOOKUP(tblPWR_DCP[[#This Row],[Rail Name]],tbl_DCP_source_search,3,FALSE))</f>
        <v>Bottom-side Capacitors :1x 1uF 0201 Periphery Capacitors :—</v>
      </c>
      <c r="C47" s="32" t="str">
        <f>VLOOKUP(tblPWR_DCP[[#This Row],[Rail Name]],tbl_DCP_source_search,4,FALSE)</f>
        <v>—</v>
      </c>
    </row>
    <row r="48" spans="1:3" ht="30" customHeight="1">
      <c r="A48" s="27" t="s">
        <v>694</v>
      </c>
      <c r="B48" s="32" t="str">
        <f>_xlfn.CONCAT("Bottom-side Capacitors :",VLOOKUP(tblPWR_DCP[[#This Row],[Rail Name]],tbl_DCP_source_search,2,FALSE)," ","Periphery Capacitors :",VLOOKUP(tblPWR_DCP[[#This Row],[Rail Name]],tbl_DCP_source_search,3,FALSE))</f>
        <v>Bottom-side Capacitors :1x 1uF 0201 Periphery Capacitors :—</v>
      </c>
      <c r="C48" s="32" t="str">
        <f>VLOOKUP(tblPWR_DCP[[#This Row],[Rail Name]],tbl_DCP_source_search,4,FALSE)</f>
        <v>—</v>
      </c>
    </row>
    <row r="49" spans="1:3" ht="30" customHeight="1">
      <c r="A49" s="27" t="s">
        <v>928</v>
      </c>
      <c r="B49" s="32" t="str">
        <f>_xlfn.CONCAT("Bottom-side Capacitors :",PWR_ref!K34," ","Periphery Capacitors :",PWR_ref!L34)</f>
        <v>Bottom-side Capacitors :1x 10µF 0402 Periphery Capacitors :1x 10µF 0402</v>
      </c>
      <c r="C49" s="32" t="str">
        <f>PWR_ref!M34</f>
        <v>Per transceiver bank</v>
      </c>
    </row>
    <row r="50" spans="1:3" ht="30" customHeight="1">
      <c r="A50" s="27" t="s">
        <v>930</v>
      </c>
      <c r="B50" s="32" t="str">
        <f>_xlfn.CONCAT("Bottom-side Capacitors :",PWR_ref!K36," ","Periphery Capacitors :",PWR_ref!L36)</f>
        <v>Bottom-side Capacitors :1x 10µF 0402 Periphery Capacitors :—</v>
      </c>
      <c r="C50" s="32" t="str">
        <f>PWR_ref!M36</f>
        <v>Per transceiver bank</v>
      </c>
    </row>
    <row r="51" spans="1:3" ht="30" customHeight="1">
      <c r="A51" s="27" t="s">
        <v>931</v>
      </c>
      <c r="B51" s="32" t="str">
        <f>_xlfn.CONCAT("Bottom-side Capacitors :",PWR_ref!K35," ","Periphery Capacitors :",PWR_ref!L35)</f>
        <v>Bottom-side Capacitors :1x 10µF 0402 Periphery Capacitors :1x 47µF 0805</v>
      </c>
      <c r="C51" s="32" t="str">
        <f>PWR_ref!M35</f>
        <v>Per transceiver bank</v>
      </c>
    </row>
    <row r="52" spans="1:3" ht="30" customHeight="1">
      <c r="A52" s="27" t="s">
        <v>54</v>
      </c>
      <c r="B52" s="32" t="str">
        <f>_xlfn.CONCAT("Bottom-side Capacitors :",VLOOKUP(tblPWR_DCP[[#This Row],[Rail Name]],tbl_DCP_source_search,2,FALSE)," ","Periphery Capacitors :",VLOOKUP(tblPWR_DCP[[#This Row],[Rail Name]],tbl_DCP_source_search,3,FALSE))</f>
        <v>Bottom-side Capacitors :2x 10uF 0402 or 3x 4.7uF 0201 Periphery Capacitors :1x 22uF 0603</v>
      </c>
      <c r="C52" s="32" t="str">
        <f>VLOOKUP(tblPWR_DCP[[#This Row],[Rail Name]],tbl_DCP_source_search,4,FALSE)</f>
        <v>—</v>
      </c>
    </row>
    <row r="53" spans="1:3" ht="30" customHeight="1">
      <c r="A53" s="27" t="s">
        <v>696</v>
      </c>
      <c r="B53" s="32" t="str">
        <f>_xlfn.CONCAT("Bottom-side Capacitors :",PWR_ref!K13," ","Periphery Capacitors :",PWR_ref!L13)</f>
        <v>Bottom-side Capacitors :1x 1uF 0201 Periphery Capacitors :—</v>
      </c>
      <c r="C53" s="32" t="str">
        <f>PWR_ref!M13</f>
        <v>Per HPS_CORE, CORE0_CORE1.</v>
      </c>
    </row>
    <row r="54" spans="1:3" ht="30" customHeight="1">
      <c r="A54" s="27"/>
      <c r="B54" s="32"/>
      <c r="C54" s="32"/>
    </row>
    <row r="55" spans="1:3" ht="30" customHeight="1">
      <c r="A55" s="27"/>
      <c r="B55" s="32"/>
      <c r="C55" s="32"/>
    </row>
    <row r="56" spans="1:3" ht="30" customHeight="1">
      <c r="A56" s="27" t="s">
        <v>55</v>
      </c>
      <c r="B56" s="32" t="str">
        <f>_xlfn.CONCAT("Bottom-side Capacitors :",VLOOKUP(tblPWR_DCP[[#This Row],[Rail Name]],tbl_DCP_source_search,2,FALSE)," ","Periphery Capacitors :",VLOOKUP(tblPWR_DCP[[#This Row],[Rail Name]],tbl_DCP_source_search,3,FALSE))</f>
        <v>Bottom-side Capacitors :1x 1uF 0201 Periphery Capacitors :—</v>
      </c>
      <c r="C56" s="32" t="str">
        <f>VLOOKUP(tblPWR_DCP[[#This Row],[Rail Name]],tbl_DCP_source_search,4,FALSE)</f>
        <v>—</v>
      </c>
    </row>
    <row r="57" spans="1:3" ht="30" customHeight="1">
      <c r="A57" s="27" t="s">
        <v>1462</v>
      </c>
      <c r="B57" s="32" t="str">
        <f>_xlfn.CONCAT("Bottom-side Capacitors :",VLOOKUP(tblPWR_DCP[[#This Row],[Rail Name]],tbl_DCP_source_search,2,FALSE)," ","Periphery Capacitors :",VLOOKUP(tblPWR_DCP[[#This Row],[Rail Name]],tbl_DCP_source_search,3,FALSE))</f>
        <v>Bottom-side Capacitors :1x 1uF 0201 Periphery Capacitors :LC filter capacitors</v>
      </c>
      <c r="C57" s="32" t="str">
        <f>VLOOKUP(tblPWR_DCP[[#This Row],[Rail Name]],tbl_DCP_source_search,4,FALSE)</f>
        <v>—</v>
      </c>
    </row>
    <row r="58" spans="1:3" ht="30" customHeight="1">
      <c r="A58" s="27"/>
      <c r="B58" s="32" t="e">
        <f>_xlfn.CONCAT("Bottom-side Capacitors :",VLOOKUP(tblPWR_DCP[[#This Row],[Rail Name]],tbl_DCP_source_search,2,FALSE)," ","Periphery Capacitors :",VLOOKUP(tblPWR_DCP[[#This Row],[Rail Name]],tbl_DCP_source_search,3,FALSE))</f>
        <v>#N/A</v>
      </c>
      <c r="C58" s="32" t="e">
        <f>VLOOKUP(tblPWR_DCP[[#This Row],[Rail Name]],tbl_DCP_source_search,4,FALSE)</f>
        <v>#N/A</v>
      </c>
    </row>
    <row r="59" spans="1:3" ht="30" customHeight="1">
      <c r="A59" s="27" t="s">
        <v>1463</v>
      </c>
      <c r="B59" s="32" t="str">
        <f>_xlfn.CONCAT("Bottom-side Capacitors :",VLOOKUP(tblPWR_DCP[[#This Row],[Rail Name]],tbl_DCP_source_search,2,FALSE)," ","Periphery Capacitors :",VLOOKUP(tblPWR_DCP[[#This Row],[Rail Name]],tbl_DCP_source_search,3,FALSE))</f>
        <v>Bottom-side Capacitors :1x 1uF 0201 Periphery Capacitors :LC filter capacitors</v>
      </c>
      <c r="C59" s="32" t="str">
        <f>VLOOKUP(tblPWR_DCP[[#This Row],[Rail Name]],tbl_DCP_source_search,4,FALSE)</f>
        <v>—</v>
      </c>
    </row>
    <row r="60" spans="1:3" ht="30" customHeight="1">
      <c r="A60" s="27"/>
      <c r="B60" s="32" t="e">
        <f>_xlfn.CONCAT("Bottom-side Capacitors :",VLOOKUP(tblPWR_DCP[[#This Row],[Rail Name]],tbl_DCP_source_search,2,FALSE)," ","Periphery Capacitors :",VLOOKUP(tblPWR_DCP[[#This Row],[Rail Name]],tbl_DCP_source_search,3,FALSE))</f>
        <v>#N/A</v>
      </c>
      <c r="C60" s="32" t="e">
        <f>VLOOKUP(tblPWR_DCP[[#This Row],[Rail Name]],tbl_DCP_source_search,4,FALSE)</f>
        <v>#N/A</v>
      </c>
    </row>
  </sheetData>
  <sheetProtection selectLockedCells="1" selectUnlockedCells="1"/>
  <mergeCells count="3">
    <mergeCell ref="A1:H1"/>
    <mergeCell ref="A7:H7"/>
    <mergeCell ref="A26:E26"/>
  </mergeCells>
  <phoneticPr fontId="18" type="noConversion"/>
  <pageMargins left="0.7" right="0.7" top="0.75" bottom="0.75" header="0.3" footer="0.3"/>
  <pageSetup orientation="portrait"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B395F-023B-4A75-8070-C8E9B5E85133}">
  <sheetPr codeName="Sheet2"/>
  <dimension ref="A1:X40"/>
  <sheetViews>
    <sheetView topLeftCell="A7" zoomScale="55" zoomScaleNormal="55" workbookViewId="0">
      <selection activeCell="D9" sqref="D9"/>
    </sheetView>
  </sheetViews>
  <sheetFormatPr defaultColWidth="30.54296875" defaultRowHeight="14.5"/>
  <cols>
    <col min="1" max="1" width="38" style="4" customWidth="1"/>
    <col min="2" max="2" width="14.81640625" style="4" bestFit="1" customWidth="1"/>
    <col min="3" max="3" width="91.54296875" style="4" bestFit="1" customWidth="1"/>
    <col min="4" max="4" width="255.81640625" style="4" customWidth="1"/>
    <col min="6" max="6" width="19.54296875" style="4" bestFit="1" customWidth="1"/>
    <col min="8" max="8" width="11.81640625" style="4" bestFit="1" customWidth="1"/>
    <col min="9" max="9" width="30.54296875" style="4"/>
    <col min="10" max="10" width="42.81640625" style="4" customWidth="1"/>
    <col min="11" max="11" width="12.81640625" style="4" bestFit="1" customWidth="1"/>
    <col min="12" max="12" width="21.81640625" style="4" bestFit="1" customWidth="1"/>
    <col min="13" max="13" width="29.81640625" style="4" bestFit="1" customWidth="1"/>
    <col min="14" max="14" width="6.1796875" style="4" bestFit="1" customWidth="1"/>
    <col min="15" max="15" width="16.08984375" style="4" customWidth="1"/>
    <col min="16" max="16" width="19.08984375" style="4" customWidth="1"/>
    <col min="17" max="16384" width="30.54296875" style="4"/>
  </cols>
  <sheetData>
    <row r="1" spans="1:24" ht="14">
      <c r="A1" s="23" t="s">
        <v>30</v>
      </c>
      <c r="B1" s="25" t="s">
        <v>255</v>
      </c>
      <c r="C1" s="24" t="s">
        <v>254</v>
      </c>
      <c r="D1" s="24" t="s">
        <v>31</v>
      </c>
      <c r="E1" s="25" t="s">
        <v>35</v>
      </c>
      <c r="F1" s="26" t="s">
        <v>256</v>
      </c>
      <c r="G1" s="4"/>
      <c r="I1" s="267" t="s">
        <v>699</v>
      </c>
      <c r="J1" s="267"/>
      <c r="K1" s="267"/>
      <c r="L1" s="267"/>
      <c r="M1" s="267"/>
      <c r="N1" s="267"/>
    </row>
    <row r="2" spans="1:24" ht="58">
      <c r="A2" s="186" t="s">
        <v>38</v>
      </c>
      <c r="B2" s="186" t="s">
        <v>28</v>
      </c>
      <c r="C2" s="186" t="s">
        <v>1128</v>
      </c>
      <c r="D2" s="186" t="s">
        <v>1129</v>
      </c>
      <c r="E2" s="6">
        <v>1</v>
      </c>
      <c r="F2" s="17" t="s">
        <v>257</v>
      </c>
      <c r="G2" s="4"/>
      <c r="I2" s="30" t="s">
        <v>259</v>
      </c>
      <c r="J2" s="30" t="s">
        <v>923</v>
      </c>
      <c r="K2" s="30" t="s">
        <v>700</v>
      </c>
      <c r="L2" s="30" t="s">
        <v>701</v>
      </c>
      <c r="M2" s="30" t="s">
        <v>250</v>
      </c>
      <c r="Q2" s="50" t="s">
        <v>258</v>
      </c>
      <c r="S2"/>
      <c r="T2"/>
      <c r="U2"/>
      <c r="V2"/>
      <c r="W2"/>
      <c r="X2"/>
    </row>
    <row r="3" spans="1:24" ht="58">
      <c r="A3" s="186" t="s">
        <v>39</v>
      </c>
      <c r="B3" s="186" t="s">
        <v>28</v>
      </c>
      <c r="C3" s="186" t="s">
        <v>1130</v>
      </c>
      <c r="D3" s="186" t="s">
        <v>1131</v>
      </c>
      <c r="E3" s="6">
        <v>1</v>
      </c>
      <c r="F3" s="17" t="s">
        <v>257</v>
      </c>
      <c r="G3" s="4"/>
      <c r="I3" s="4" t="s">
        <v>261</v>
      </c>
      <c r="J3" s="4" t="s">
        <v>262</v>
      </c>
      <c r="K3" s="4" t="s">
        <v>246</v>
      </c>
      <c r="L3" s="4" t="s">
        <v>263</v>
      </c>
      <c r="M3" s="4" t="s">
        <v>264</v>
      </c>
      <c r="Q3" s="15" t="s">
        <v>1461</v>
      </c>
      <c r="S3"/>
      <c r="T3"/>
      <c r="U3"/>
      <c r="V3"/>
      <c r="W3"/>
      <c r="X3"/>
    </row>
    <row r="4" spans="1:24" ht="101.5">
      <c r="A4" s="186" t="s">
        <v>40</v>
      </c>
      <c r="B4" s="186" t="s">
        <v>28</v>
      </c>
      <c r="C4" s="186" t="s">
        <v>260</v>
      </c>
      <c r="D4" s="186" t="s">
        <v>1132</v>
      </c>
      <c r="E4" s="6" t="s">
        <v>683</v>
      </c>
      <c r="F4" s="17" t="s">
        <v>257</v>
      </c>
      <c r="G4" s="4"/>
      <c r="I4" s="6" t="s">
        <v>1457</v>
      </c>
      <c r="J4" s="6" t="s">
        <v>702</v>
      </c>
      <c r="K4" s="6" t="s">
        <v>703</v>
      </c>
      <c r="L4" s="6" t="s">
        <v>265</v>
      </c>
      <c r="M4" s="6" t="s">
        <v>704</v>
      </c>
      <c r="N4" s="4" t="s">
        <v>257</v>
      </c>
      <c r="Q4" s="15"/>
      <c r="S4"/>
      <c r="T4"/>
      <c r="U4"/>
      <c r="V4"/>
      <c r="W4"/>
      <c r="X4"/>
    </row>
    <row r="5" spans="1:24" ht="42">
      <c r="A5" s="186" t="s">
        <v>41</v>
      </c>
      <c r="B5" s="186" t="s">
        <v>28</v>
      </c>
      <c r="C5" s="186" t="s">
        <v>881</v>
      </c>
      <c r="D5" s="186" t="s">
        <v>1133</v>
      </c>
      <c r="E5" s="6" t="s">
        <v>684</v>
      </c>
      <c r="F5" s="17" t="s">
        <v>257</v>
      </c>
      <c r="G5" s="4"/>
      <c r="I5" s="6" t="s">
        <v>1450</v>
      </c>
      <c r="J5" s="6" t="s">
        <v>702</v>
      </c>
      <c r="K5" s="6" t="s">
        <v>705</v>
      </c>
      <c r="L5" s="6" t="s">
        <v>265</v>
      </c>
      <c r="M5" s="6" t="s">
        <v>704</v>
      </c>
      <c r="Q5" s="15"/>
      <c r="S5"/>
      <c r="T5"/>
      <c r="U5"/>
      <c r="V5"/>
      <c r="W5"/>
      <c r="X5"/>
    </row>
    <row r="6" spans="1:24">
      <c r="A6" s="186" t="s">
        <v>42</v>
      </c>
      <c r="B6" s="186" t="s">
        <v>28</v>
      </c>
      <c r="C6" s="186" t="s">
        <v>685</v>
      </c>
      <c r="D6" s="186" t="s">
        <v>1134</v>
      </c>
      <c r="E6" s="6">
        <v>1</v>
      </c>
      <c r="F6" s="17" t="s">
        <v>257</v>
      </c>
      <c r="G6" s="4"/>
      <c r="I6" s="6"/>
      <c r="J6" s="6"/>
      <c r="K6" s="6"/>
      <c r="L6" s="6"/>
      <c r="M6" s="32"/>
      <c r="S6"/>
      <c r="T6"/>
      <c r="U6"/>
      <c r="V6"/>
      <c r="W6"/>
      <c r="X6"/>
    </row>
    <row r="7" spans="1:24" ht="159.5">
      <c r="A7" s="186" t="s">
        <v>1466</v>
      </c>
      <c r="B7" s="186" t="s">
        <v>28</v>
      </c>
      <c r="C7" s="186" t="s">
        <v>1135</v>
      </c>
      <c r="D7" s="186" t="s">
        <v>1136</v>
      </c>
      <c r="E7" s="6" t="s">
        <v>684</v>
      </c>
      <c r="F7" s="17" t="s">
        <v>257</v>
      </c>
      <c r="G7" s="4"/>
      <c r="I7" s="6"/>
      <c r="J7" s="6"/>
      <c r="K7" s="6"/>
      <c r="L7" s="6"/>
      <c r="M7" s="32"/>
      <c r="S7"/>
      <c r="T7"/>
      <c r="U7"/>
      <c r="V7"/>
      <c r="W7"/>
      <c r="X7"/>
    </row>
    <row r="8" spans="1:24">
      <c r="A8" s="186" t="s">
        <v>43</v>
      </c>
      <c r="B8" s="186" t="s">
        <v>28</v>
      </c>
      <c r="C8" s="186" t="s">
        <v>686</v>
      </c>
      <c r="D8" s="186" t="s">
        <v>1137</v>
      </c>
      <c r="E8" s="6" t="s">
        <v>684</v>
      </c>
      <c r="F8" s="17" t="s">
        <v>257</v>
      </c>
      <c r="G8" s="4"/>
      <c r="I8" s="6"/>
      <c r="J8" s="6"/>
      <c r="K8" s="6"/>
      <c r="L8" s="6"/>
      <c r="M8" s="32"/>
      <c r="S8"/>
      <c r="T8"/>
      <c r="U8"/>
      <c r="V8"/>
      <c r="W8"/>
      <c r="X8"/>
    </row>
    <row r="9" spans="1:24" ht="43.5">
      <c r="A9" s="186" t="s">
        <v>44</v>
      </c>
      <c r="B9" s="186" t="s">
        <v>28</v>
      </c>
      <c r="C9" s="186" t="s">
        <v>687</v>
      </c>
      <c r="D9" s="186" t="s">
        <v>1138</v>
      </c>
      <c r="E9" s="6" t="s">
        <v>683</v>
      </c>
      <c r="F9" s="17" t="s">
        <v>257</v>
      </c>
      <c r="G9" s="4"/>
      <c r="I9" s="6"/>
      <c r="J9" s="6"/>
      <c r="K9" s="6"/>
      <c r="L9" s="6"/>
      <c r="M9" s="32"/>
      <c r="S9"/>
      <c r="T9"/>
      <c r="U9"/>
      <c r="V9"/>
      <c r="W9"/>
      <c r="X9"/>
    </row>
    <row r="10" spans="1:24">
      <c r="A10" s="186" t="s">
        <v>45</v>
      </c>
      <c r="B10" s="186" t="s">
        <v>28</v>
      </c>
      <c r="C10" s="186" t="s">
        <v>688</v>
      </c>
      <c r="D10" s="186" t="s">
        <v>1139</v>
      </c>
      <c r="E10" s="6">
        <v>1</v>
      </c>
      <c r="F10" s="17" t="s">
        <v>257</v>
      </c>
      <c r="G10" s="4"/>
      <c r="I10" s="6"/>
      <c r="J10" s="6"/>
      <c r="K10" s="6"/>
      <c r="L10" s="6"/>
      <c r="M10" s="32"/>
      <c r="U10"/>
      <c r="V10"/>
      <c r="W10"/>
      <c r="X10"/>
    </row>
    <row r="11" spans="1:24">
      <c r="A11" s="186" t="s">
        <v>46</v>
      </c>
      <c r="B11" s="186" t="s">
        <v>28</v>
      </c>
      <c r="C11" s="186" t="s">
        <v>689</v>
      </c>
      <c r="D11" s="186" t="s">
        <v>924</v>
      </c>
      <c r="E11" s="6">
        <v>1</v>
      </c>
      <c r="F11" s="17" t="s">
        <v>257</v>
      </c>
      <c r="G11" s="4"/>
      <c r="I11" s="6"/>
      <c r="J11" s="6"/>
      <c r="K11" s="6"/>
      <c r="L11" s="6"/>
      <c r="M11" s="32"/>
      <c r="S11"/>
      <c r="T11"/>
      <c r="U11"/>
      <c r="V11"/>
      <c r="W11"/>
      <c r="X11"/>
    </row>
    <row r="12" spans="1:24" ht="42">
      <c r="A12" s="186" t="s">
        <v>47</v>
      </c>
      <c r="B12" s="186" t="s">
        <v>28</v>
      </c>
      <c r="C12" s="186" t="s">
        <v>1140</v>
      </c>
      <c r="D12" s="186" t="s">
        <v>1141</v>
      </c>
      <c r="E12" s="6" t="s">
        <v>683</v>
      </c>
      <c r="F12" s="17" t="s">
        <v>257</v>
      </c>
      <c r="G12" s="4"/>
      <c r="I12" s="6" t="s">
        <v>706</v>
      </c>
      <c r="J12" s="6" t="s">
        <v>54</v>
      </c>
      <c r="K12" s="6" t="s">
        <v>908</v>
      </c>
      <c r="L12" s="6" t="s">
        <v>707</v>
      </c>
      <c r="M12" s="32" t="s">
        <v>265</v>
      </c>
      <c r="S12"/>
      <c r="T12"/>
      <c r="U12"/>
      <c r="V12"/>
      <c r="W12"/>
      <c r="X12"/>
    </row>
    <row r="13" spans="1:24" ht="28">
      <c r="A13" s="186" t="s">
        <v>48</v>
      </c>
      <c r="B13" s="186" t="s">
        <v>267</v>
      </c>
      <c r="C13" s="186" t="s">
        <v>690</v>
      </c>
      <c r="D13" s="186" t="s">
        <v>1142</v>
      </c>
      <c r="E13" s="6" t="s">
        <v>406</v>
      </c>
      <c r="F13" s="17" t="s">
        <v>257</v>
      </c>
      <c r="G13" s="4"/>
      <c r="I13" s="6" t="s">
        <v>706</v>
      </c>
      <c r="J13" s="6" t="s">
        <v>708</v>
      </c>
      <c r="K13" s="6" t="s">
        <v>709</v>
      </c>
      <c r="L13" s="6" t="s">
        <v>265</v>
      </c>
      <c r="M13" s="32" t="s">
        <v>987</v>
      </c>
      <c r="S13"/>
      <c r="T13"/>
      <c r="U13"/>
      <c r="V13"/>
      <c r="W13"/>
      <c r="X13"/>
    </row>
    <row r="14" spans="1:24" ht="43.5">
      <c r="A14" s="186" t="s">
        <v>49</v>
      </c>
      <c r="B14" s="186" t="s">
        <v>498</v>
      </c>
      <c r="C14" s="186" t="s">
        <v>269</v>
      </c>
      <c r="D14" s="186" t="s">
        <v>1143</v>
      </c>
      <c r="E14" s="6" t="s">
        <v>406</v>
      </c>
      <c r="F14" s="17" t="s">
        <v>257</v>
      </c>
      <c r="G14" s="4"/>
      <c r="I14" s="6" t="s">
        <v>706</v>
      </c>
      <c r="J14" s="6" t="s">
        <v>1462</v>
      </c>
      <c r="K14" s="6" t="s">
        <v>709</v>
      </c>
      <c r="L14" s="6" t="s">
        <v>268</v>
      </c>
      <c r="M14" s="32" t="s">
        <v>265</v>
      </c>
      <c r="S14"/>
      <c r="T14"/>
      <c r="U14"/>
      <c r="V14"/>
      <c r="W14"/>
      <c r="X14"/>
    </row>
    <row r="15" spans="1:24" ht="43.5">
      <c r="A15" s="186" t="s">
        <v>50</v>
      </c>
      <c r="B15" s="186" t="s">
        <v>498</v>
      </c>
      <c r="C15" s="186" t="s">
        <v>269</v>
      </c>
      <c r="D15" s="186" t="s">
        <v>1143</v>
      </c>
      <c r="E15" s="6" t="s">
        <v>406</v>
      </c>
      <c r="F15" s="17" t="s">
        <v>257</v>
      </c>
      <c r="G15" s="4"/>
      <c r="I15" s="6"/>
      <c r="J15" s="6"/>
      <c r="K15" s="6"/>
      <c r="L15" s="6"/>
      <c r="M15" s="32"/>
      <c r="S15"/>
      <c r="T15"/>
      <c r="U15"/>
      <c r="V15"/>
      <c r="W15"/>
      <c r="X15"/>
    </row>
    <row r="16" spans="1:24" ht="29">
      <c r="A16" s="186" t="s">
        <v>51</v>
      </c>
      <c r="B16" s="186" t="s">
        <v>28</v>
      </c>
      <c r="C16" s="186" t="s">
        <v>691</v>
      </c>
      <c r="D16" s="186" t="s">
        <v>925</v>
      </c>
      <c r="E16" s="6" t="s">
        <v>683</v>
      </c>
      <c r="F16" s="17" t="s">
        <v>257</v>
      </c>
      <c r="G16" s="4"/>
      <c r="I16" s="6" t="s">
        <v>706</v>
      </c>
      <c r="J16" s="6" t="s">
        <v>55</v>
      </c>
      <c r="K16" s="6" t="s">
        <v>709</v>
      </c>
      <c r="L16" s="6" t="s">
        <v>265</v>
      </c>
      <c r="M16" s="6" t="s">
        <v>265</v>
      </c>
      <c r="S16"/>
      <c r="T16"/>
      <c r="U16"/>
      <c r="V16"/>
      <c r="W16"/>
      <c r="X16"/>
    </row>
    <row r="17" spans="1:24" ht="29">
      <c r="A17" s="186" t="s">
        <v>52</v>
      </c>
      <c r="B17" s="186" t="s">
        <v>28</v>
      </c>
      <c r="C17" s="186" t="s">
        <v>1144</v>
      </c>
      <c r="D17" s="186" t="s">
        <v>1145</v>
      </c>
      <c r="E17" s="6" t="s">
        <v>683</v>
      </c>
      <c r="F17" s="17" t="s">
        <v>257</v>
      </c>
      <c r="G17" s="4"/>
      <c r="I17" s="6" t="s">
        <v>706</v>
      </c>
      <c r="J17" s="6" t="s">
        <v>1463</v>
      </c>
      <c r="K17" s="6" t="s">
        <v>709</v>
      </c>
      <c r="L17" s="6" t="s">
        <v>268</v>
      </c>
      <c r="M17" s="6" t="s">
        <v>265</v>
      </c>
      <c r="W17"/>
      <c r="X17"/>
    </row>
    <row r="18" spans="1:24">
      <c r="A18" s="186" t="s">
        <v>692</v>
      </c>
      <c r="B18" s="186" t="s">
        <v>28</v>
      </c>
      <c r="C18" s="186" t="s">
        <v>882</v>
      </c>
      <c r="D18" s="186" t="s">
        <v>1146</v>
      </c>
      <c r="E18" s="6" t="s">
        <v>683</v>
      </c>
      <c r="F18" s="17" t="s">
        <v>257</v>
      </c>
      <c r="G18" s="4"/>
      <c r="I18" s="6"/>
      <c r="J18" s="6"/>
      <c r="K18" s="6"/>
      <c r="L18" s="6"/>
      <c r="M18" s="6"/>
      <c r="W18"/>
      <c r="X18"/>
    </row>
    <row r="19" spans="1:24" ht="28">
      <c r="A19" s="186" t="s">
        <v>693</v>
      </c>
      <c r="B19" s="186" t="s">
        <v>28</v>
      </c>
      <c r="C19" s="186" t="s">
        <v>884</v>
      </c>
      <c r="D19" s="186" t="s">
        <v>883</v>
      </c>
      <c r="E19" s="6" t="s">
        <v>684</v>
      </c>
      <c r="F19" s="15" t="s">
        <v>257</v>
      </c>
      <c r="G19" s="4"/>
      <c r="I19" s="6" t="s">
        <v>710</v>
      </c>
      <c r="J19" s="6" t="s">
        <v>40</v>
      </c>
      <c r="K19" s="6" t="s">
        <v>711</v>
      </c>
      <c r="L19" s="6" t="s">
        <v>712</v>
      </c>
      <c r="M19" s="6" t="s">
        <v>265</v>
      </c>
      <c r="S19"/>
      <c r="T19"/>
      <c r="U19"/>
      <c r="V19"/>
      <c r="W19"/>
      <c r="X19"/>
    </row>
    <row r="20" spans="1:24" ht="43.5">
      <c r="A20" s="186" t="s">
        <v>885</v>
      </c>
      <c r="B20" s="186" t="s">
        <v>28</v>
      </c>
      <c r="C20" s="186" t="s">
        <v>886</v>
      </c>
      <c r="D20" s="186" t="s">
        <v>926</v>
      </c>
      <c r="E20" s="6">
        <v>1</v>
      </c>
      <c r="F20" s="15" t="s">
        <v>257</v>
      </c>
      <c r="G20" s="4"/>
      <c r="I20" s="6" t="s">
        <v>710</v>
      </c>
      <c r="J20" s="6" t="s">
        <v>41</v>
      </c>
      <c r="K20" s="6" t="s">
        <v>709</v>
      </c>
      <c r="L20" s="6" t="s">
        <v>712</v>
      </c>
      <c r="M20" s="6" t="s">
        <v>265</v>
      </c>
      <c r="S20"/>
      <c r="T20"/>
      <c r="U20"/>
      <c r="V20"/>
      <c r="W20"/>
      <c r="X20"/>
    </row>
    <row r="21" spans="1:24" ht="43.5">
      <c r="A21" s="186" t="s">
        <v>694</v>
      </c>
      <c r="B21" s="186" t="s">
        <v>28</v>
      </c>
      <c r="C21" s="186" t="s">
        <v>887</v>
      </c>
      <c r="D21" s="186" t="s">
        <v>927</v>
      </c>
      <c r="E21" s="6">
        <v>1</v>
      </c>
      <c r="F21" s="15" t="s">
        <v>257</v>
      </c>
      <c r="G21" s="4"/>
      <c r="I21" s="6" t="s">
        <v>713</v>
      </c>
      <c r="J21" s="6" t="s">
        <v>253</v>
      </c>
      <c r="K21" s="6" t="s">
        <v>711</v>
      </c>
      <c r="L21" s="6" t="s">
        <v>712</v>
      </c>
      <c r="M21" s="6" t="s">
        <v>714</v>
      </c>
      <c r="S21"/>
      <c r="T21"/>
      <c r="U21"/>
      <c r="V21"/>
      <c r="W21"/>
      <c r="X21"/>
    </row>
    <row r="22" spans="1:24">
      <c r="A22" s="15"/>
      <c r="B22" s="6"/>
      <c r="C22" s="6"/>
      <c r="D22" s="15"/>
      <c r="E22" s="15"/>
      <c r="F22" s="15"/>
      <c r="G22" s="4"/>
      <c r="I22" s="6" t="s">
        <v>715</v>
      </c>
      <c r="J22" s="6" t="s">
        <v>42</v>
      </c>
      <c r="K22" s="6" t="s">
        <v>709</v>
      </c>
      <c r="L22" s="6" t="s">
        <v>265</v>
      </c>
      <c r="M22" s="6" t="s">
        <v>265</v>
      </c>
      <c r="S22"/>
      <c r="T22"/>
      <c r="U22"/>
      <c r="V22"/>
      <c r="W22"/>
      <c r="X22"/>
    </row>
    <row r="23" spans="1:24" ht="58">
      <c r="A23" s="187" t="s">
        <v>928</v>
      </c>
      <c r="B23" s="188" t="s">
        <v>28</v>
      </c>
      <c r="C23" s="187" t="s">
        <v>1147</v>
      </c>
      <c r="D23" s="187" t="s">
        <v>929</v>
      </c>
      <c r="E23" s="6">
        <v>1</v>
      </c>
      <c r="F23" s="15" t="s">
        <v>695</v>
      </c>
      <c r="G23" s="4"/>
      <c r="I23" s="6" t="s">
        <v>715</v>
      </c>
      <c r="J23" s="6" t="s">
        <v>46</v>
      </c>
      <c r="K23" s="6" t="s">
        <v>716</v>
      </c>
      <c r="L23" s="6" t="s">
        <v>265</v>
      </c>
      <c r="M23" s="6" t="s">
        <v>265</v>
      </c>
      <c r="S23"/>
      <c r="T23"/>
      <c r="U23"/>
      <c r="V23"/>
      <c r="W23"/>
      <c r="X23"/>
    </row>
    <row r="24" spans="1:24" ht="29">
      <c r="A24" s="187" t="s">
        <v>930</v>
      </c>
      <c r="B24" s="188" t="s">
        <v>28</v>
      </c>
      <c r="C24" s="187" t="s">
        <v>888</v>
      </c>
      <c r="D24" s="187" t="s">
        <v>1148</v>
      </c>
      <c r="E24" s="6" t="s">
        <v>683</v>
      </c>
      <c r="F24" s="15" t="s">
        <v>695</v>
      </c>
      <c r="G24" s="4"/>
      <c r="I24" s="6" t="s">
        <v>715</v>
      </c>
      <c r="J24" s="6" t="s">
        <v>694</v>
      </c>
      <c r="K24" s="6" t="s">
        <v>709</v>
      </c>
      <c r="L24" s="6" t="s">
        <v>265</v>
      </c>
      <c r="M24" s="6" t="s">
        <v>265</v>
      </c>
      <c r="S24"/>
      <c r="T24"/>
      <c r="U24"/>
      <c r="V24"/>
      <c r="W24"/>
      <c r="X24"/>
    </row>
    <row r="25" spans="1:24" ht="29">
      <c r="A25" s="187" t="s">
        <v>931</v>
      </c>
      <c r="B25" s="188" t="s">
        <v>28</v>
      </c>
      <c r="C25" s="187" t="s">
        <v>889</v>
      </c>
      <c r="D25" s="187" t="s">
        <v>932</v>
      </c>
      <c r="E25" s="6">
        <v>1</v>
      </c>
      <c r="F25" s="15" t="s">
        <v>695</v>
      </c>
      <c r="G25" s="4"/>
      <c r="I25" s="6" t="s">
        <v>715</v>
      </c>
      <c r="J25" s="6" t="s">
        <v>885</v>
      </c>
      <c r="K25" s="6" t="s">
        <v>709</v>
      </c>
      <c r="L25" s="6" t="s">
        <v>265</v>
      </c>
      <c r="M25" s="6" t="s">
        <v>265</v>
      </c>
      <c r="S25"/>
      <c r="T25"/>
      <c r="U25"/>
      <c r="V25"/>
      <c r="W25"/>
      <c r="X25"/>
    </row>
    <row r="26" spans="1:24">
      <c r="A26" s="15"/>
      <c r="B26" s="6"/>
      <c r="C26" s="6"/>
      <c r="D26" s="15"/>
      <c r="E26" s="15"/>
      <c r="F26" s="15"/>
      <c r="G26" s="4"/>
      <c r="I26" s="6" t="s">
        <v>715</v>
      </c>
      <c r="J26" s="6" t="s">
        <v>45</v>
      </c>
      <c r="K26" s="6" t="s">
        <v>709</v>
      </c>
      <c r="L26" s="6" t="s">
        <v>268</v>
      </c>
      <c r="M26" s="6" t="s">
        <v>265</v>
      </c>
      <c r="S26"/>
      <c r="T26"/>
      <c r="U26"/>
      <c r="V26"/>
      <c r="W26"/>
      <c r="X26"/>
    </row>
    <row r="27" spans="1:24">
      <c r="A27" s="15"/>
      <c r="B27" s="6"/>
      <c r="C27" s="6"/>
      <c r="D27" s="15"/>
      <c r="E27" s="15"/>
      <c r="F27" s="15"/>
      <c r="G27" s="4"/>
      <c r="I27" s="6" t="s">
        <v>715</v>
      </c>
      <c r="J27" s="6" t="s">
        <v>43</v>
      </c>
      <c r="K27" s="6" t="s">
        <v>709</v>
      </c>
      <c r="L27" s="6" t="s">
        <v>265</v>
      </c>
      <c r="M27" s="6" t="s">
        <v>265</v>
      </c>
      <c r="S27"/>
      <c r="T27"/>
      <c r="U27"/>
      <c r="V27"/>
      <c r="W27"/>
      <c r="X27"/>
    </row>
    <row r="28" spans="1:24" ht="29">
      <c r="A28" s="187" t="s">
        <v>54</v>
      </c>
      <c r="B28" s="188" t="s">
        <v>28</v>
      </c>
      <c r="C28" s="187" t="s">
        <v>1149</v>
      </c>
      <c r="D28" s="201" t="s">
        <v>1150</v>
      </c>
      <c r="E28" s="6">
        <v>1</v>
      </c>
      <c r="F28" s="15" t="s">
        <v>167</v>
      </c>
      <c r="G28" s="4"/>
      <c r="I28" s="6" t="s">
        <v>715</v>
      </c>
      <c r="J28" s="6" t="s">
        <v>51</v>
      </c>
      <c r="K28" s="6" t="s">
        <v>709</v>
      </c>
      <c r="L28" s="6" t="s">
        <v>268</v>
      </c>
      <c r="M28" s="6" t="s">
        <v>265</v>
      </c>
      <c r="N28" s="37"/>
      <c r="S28"/>
      <c r="T28"/>
      <c r="U28"/>
      <c r="V28"/>
      <c r="W28"/>
      <c r="X28"/>
    </row>
    <row r="29" spans="1:24" ht="43.5">
      <c r="A29" s="187" t="s">
        <v>696</v>
      </c>
      <c r="B29" s="188" t="s">
        <v>28</v>
      </c>
      <c r="C29" s="187" t="s">
        <v>890</v>
      </c>
      <c r="D29" s="201" t="s">
        <v>1151</v>
      </c>
      <c r="E29" s="6">
        <v>1</v>
      </c>
      <c r="F29" s="15" t="s">
        <v>167</v>
      </c>
      <c r="G29" s="4"/>
      <c r="I29" s="6" t="s">
        <v>715</v>
      </c>
      <c r="J29" s="6" t="s">
        <v>47</v>
      </c>
      <c r="K29" s="6" t="s">
        <v>709</v>
      </c>
      <c r="L29" s="6" t="s">
        <v>268</v>
      </c>
      <c r="M29" s="6" t="s">
        <v>265</v>
      </c>
      <c r="N29" s="37"/>
      <c r="S29"/>
      <c r="T29"/>
      <c r="U29"/>
      <c r="V29"/>
      <c r="W29"/>
      <c r="X29"/>
    </row>
    <row r="30" spans="1:24" ht="29">
      <c r="A30" s="187" t="s">
        <v>55</v>
      </c>
      <c r="B30" s="188" t="s">
        <v>28</v>
      </c>
      <c r="C30" s="187" t="s">
        <v>270</v>
      </c>
      <c r="D30" s="201" t="s">
        <v>1152</v>
      </c>
      <c r="E30" s="6" t="s">
        <v>683</v>
      </c>
      <c r="F30" s="15" t="s">
        <v>167</v>
      </c>
      <c r="G30" s="4"/>
      <c r="I30" s="6" t="s">
        <v>715</v>
      </c>
      <c r="J30" s="6" t="s">
        <v>44</v>
      </c>
      <c r="K30" s="6" t="s">
        <v>709</v>
      </c>
      <c r="L30" s="6" t="s">
        <v>712</v>
      </c>
      <c r="M30" s="6" t="s">
        <v>265</v>
      </c>
      <c r="N30" s="37"/>
      <c r="S30"/>
      <c r="T30"/>
      <c r="U30"/>
      <c r="V30"/>
      <c r="W30"/>
      <c r="X30"/>
    </row>
    <row r="31" spans="1:24" ht="29">
      <c r="A31" s="187" t="s">
        <v>1462</v>
      </c>
      <c r="B31" s="188" t="s">
        <v>28</v>
      </c>
      <c r="C31" s="187" t="s">
        <v>697</v>
      </c>
      <c r="D31" s="201" t="s">
        <v>1464</v>
      </c>
      <c r="E31" s="6" t="s">
        <v>683</v>
      </c>
      <c r="F31" s="15" t="s">
        <v>167</v>
      </c>
      <c r="G31" s="4"/>
      <c r="I31" s="6" t="s">
        <v>715</v>
      </c>
      <c r="J31" s="6" t="s">
        <v>52</v>
      </c>
      <c r="K31" s="6" t="s">
        <v>709</v>
      </c>
      <c r="L31" s="6" t="s">
        <v>717</v>
      </c>
      <c r="M31" s="6" t="s">
        <v>265</v>
      </c>
      <c r="N31" s="37"/>
      <c r="S31"/>
      <c r="T31"/>
      <c r="U31"/>
      <c r="V31"/>
      <c r="W31"/>
      <c r="X31"/>
    </row>
    <row r="32" spans="1:24">
      <c r="A32" s="187"/>
      <c r="B32" s="188"/>
      <c r="C32" s="187"/>
      <c r="D32" s="201"/>
      <c r="E32" s="6" t="s">
        <v>683</v>
      </c>
      <c r="F32" s="15" t="s">
        <v>167</v>
      </c>
      <c r="G32" s="4"/>
      <c r="I32" s="6" t="s">
        <v>718</v>
      </c>
      <c r="J32" s="6" t="s">
        <v>692</v>
      </c>
      <c r="K32" s="6" t="s">
        <v>716</v>
      </c>
      <c r="L32" s="6" t="s">
        <v>265</v>
      </c>
      <c r="M32" s="6" t="s">
        <v>714</v>
      </c>
      <c r="N32" s="37"/>
      <c r="S32"/>
      <c r="T32"/>
      <c r="U32"/>
      <c r="V32"/>
      <c r="W32"/>
      <c r="X32"/>
    </row>
    <row r="33" spans="1:24">
      <c r="A33" s="187"/>
      <c r="B33" s="188"/>
      <c r="C33" s="6"/>
      <c r="D33" s="201"/>
      <c r="E33" s="6">
        <v>1</v>
      </c>
      <c r="F33" s="15" t="s">
        <v>167</v>
      </c>
      <c r="G33" s="4"/>
      <c r="I33" s="6" t="s">
        <v>718</v>
      </c>
      <c r="J33" s="6" t="s">
        <v>693</v>
      </c>
      <c r="K33" s="6" t="s">
        <v>709</v>
      </c>
      <c r="L33" s="6" t="s">
        <v>265</v>
      </c>
      <c r="M33" s="6" t="s">
        <v>714</v>
      </c>
      <c r="N33" s="37"/>
      <c r="S33"/>
      <c r="T33"/>
      <c r="U33"/>
      <c r="V33"/>
      <c r="W33"/>
      <c r="X33"/>
    </row>
    <row r="34" spans="1:24" ht="29">
      <c r="A34" s="187" t="s">
        <v>1463</v>
      </c>
      <c r="B34" s="188" t="s">
        <v>28</v>
      </c>
      <c r="C34" s="187" t="s">
        <v>698</v>
      </c>
      <c r="D34" s="201" t="s">
        <v>1465</v>
      </c>
      <c r="E34" s="6">
        <v>1</v>
      </c>
      <c r="F34" s="15" t="s">
        <v>167</v>
      </c>
      <c r="G34" s="4"/>
      <c r="I34" s="6" t="s">
        <v>719</v>
      </c>
      <c r="J34" s="6" t="s">
        <v>720</v>
      </c>
      <c r="K34" s="6" t="s">
        <v>909</v>
      </c>
      <c r="L34" s="6" t="s">
        <v>909</v>
      </c>
      <c r="M34" s="6" t="s">
        <v>910</v>
      </c>
      <c r="S34"/>
      <c r="T34"/>
      <c r="U34"/>
      <c r="V34"/>
      <c r="W34"/>
      <c r="X34"/>
    </row>
    <row r="35" spans="1:24" ht="28">
      <c r="I35" s="6" t="s">
        <v>719</v>
      </c>
      <c r="J35" s="6" t="s">
        <v>721</v>
      </c>
      <c r="K35" s="6" t="s">
        <v>909</v>
      </c>
      <c r="L35" s="6" t="s">
        <v>911</v>
      </c>
      <c r="M35" s="6" t="s">
        <v>910</v>
      </c>
      <c r="S35"/>
      <c r="T35"/>
      <c r="U35"/>
      <c r="V35"/>
      <c r="W35"/>
      <c r="X35"/>
    </row>
    <row r="36" spans="1:24" ht="28">
      <c r="I36" s="6" t="s">
        <v>719</v>
      </c>
      <c r="J36" s="6" t="s">
        <v>722</v>
      </c>
      <c r="K36" s="6" t="s">
        <v>909</v>
      </c>
      <c r="L36" s="6" t="s">
        <v>265</v>
      </c>
      <c r="M36" s="6" t="s">
        <v>910</v>
      </c>
      <c r="S36"/>
      <c r="T36"/>
      <c r="U36"/>
      <c r="V36"/>
      <c r="W36"/>
      <c r="X36"/>
    </row>
    <row r="37" spans="1:24">
      <c r="S37"/>
      <c r="T37"/>
      <c r="U37"/>
      <c r="V37"/>
      <c r="W37"/>
      <c r="X37"/>
    </row>
    <row r="38" spans="1:24">
      <c r="N38" s="10"/>
      <c r="O38" s="10"/>
      <c r="S38"/>
      <c r="T38"/>
      <c r="U38"/>
      <c r="V38"/>
      <c r="W38"/>
      <c r="X38"/>
    </row>
    <row r="39" spans="1:24">
      <c r="N39" s="37"/>
      <c r="O39" s="37"/>
      <c r="S39"/>
      <c r="T39"/>
      <c r="U39"/>
      <c r="V39"/>
      <c r="W39"/>
      <c r="X39"/>
    </row>
    <row r="40" spans="1:24">
      <c r="S40"/>
      <c r="T40"/>
      <c r="U40"/>
      <c r="V40"/>
      <c r="W40"/>
      <c r="X40"/>
    </row>
  </sheetData>
  <sheetProtection selectLockedCells="1" selectUnlockedCells="1"/>
  <mergeCells count="1">
    <mergeCell ref="I1:N1"/>
  </mergeCells>
  <phoneticPr fontId="18" type="noConversion"/>
  <pageMargins left="0.7" right="0.7" top="0.75" bottom="0.75" header="0.3" footer="0.3"/>
  <pageSetup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CD026-7E43-4FD2-A07B-E9499A185B4D}">
  <sheetPr codeName="Sheet3"/>
  <dimension ref="A1:D30"/>
  <sheetViews>
    <sheetView topLeftCell="A2" zoomScale="55" zoomScaleNormal="55" workbookViewId="0">
      <selection activeCell="B9" sqref="B9"/>
    </sheetView>
  </sheetViews>
  <sheetFormatPr defaultColWidth="9.1796875" defaultRowHeight="14.5"/>
  <cols>
    <col min="1" max="1" width="27.81640625" customWidth="1"/>
    <col min="2" max="2" width="10.54296875" bestFit="1" customWidth="1"/>
    <col min="3" max="4" width="84" customWidth="1"/>
    <col min="10" max="10" width="17.81640625" bestFit="1" customWidth="1"/>
    <col min="11" max="11" width="10" bestFit="1" customWidth="1"/>
    <col min="14" max="14" width="16.1796875" bestFit="1" customWidth="1"/>
  </cols>
  <sheetData>
    <row r="1" spans="1:4">
      <c r="A1" t="s">
        <v>30</v>
      </c>
      <c r="B1" t="s">
        <v>271</v>
      </c>
      <c r="C1" t="s">
        <v>254</v>
      </c>
      <c r="D1" t="s">
        <v>31</v>
      </c>
    </row>
    <row r="2" spans="1:4" ht="130.5">
      <c r="A2" s="187" t="s">
        <v>79</v>
      </c>
      <c r="B2" s="188" t="s">
        <v>346</v>
      </c>
      <c r="C2" s="186" t="s">
        <v>988</v>
      </c>
      <c r="D2" s="186" t="s">
        <v>1153</v>
      </c>
    </row>
    <row r="3" spans="1:4" ht="72.5">
      <c r="A3" s="187" t="s">
        <v>80</v>
      </c>
      <c r="B3" s="188" t="s">
        <v>346</v>
      </c>
      <c r="C3" s="186" t="s">
        <v>989</v>
      </c>
      <c r="D3" s="186" t="s">
        <v>990</v>
      </c>
    </row>
    <row r="4" spans="1:4" ht="58">
      <c r="A4" s="187" t="s">
        <v>81</v>
      </c>
      <c r="B4" s="188" t="s">
        <v>498</v>
      </c>
      <c r="C4" s="186" t="s">
        <v>991</v>
      </c>
      <c r="D4" s="186" t="s">
        <v>1154</v>
      </c>
    </row>
    <row r="5" spans="1:4" ht="72.5">
      <c r="A5" s="187" t="s">
        <v>82</v>
      </c>
      <c r="B5" s="188" t="s">
        <v>346</v>
      </c>
      <c r="C5" s="186" t="s">
        <v>992</v>
      </c>
      <c r="D5" s="186" t="s">
        <v>1155</v>
      </c>
    </row>
    <row r="6" spans="1:4" ht="87">
      <c r="A6" s="187" t="s">
        <v>83</v>
      </c>
      <c r="B6" s="188" t="s">
        <v>498</v>
      </c>
      <c r="C6" s="186" t="s">
        <v>1156</v>
      </c>
      <c r="D6" s="186" t="s">
        <v>1157</v>
      </c>
    </row>
    <row r="7" spans="1:4" ht="87">
      <c r="A7" s="187" t="s">
        <v>84</v>
      </c>
      <c r="B7" s="188" t="s">
        <v>346</v>
      </c>
      <c r="C7" s="186" t="s">
        <v>1158</v>
      </c>
      <c r="D7" s="186" t="s">
        <v>1159</v>
      </c>
    </row>
    <row r="8" spans="1:4" ht="116">
      <c r="A8" s="187" t="s">
        <v>85</v>
      </c>
      <c r="B8" s="188" t="s">
        <v>346</v>
      </c>
      <c r="C8" s="186" t="s">
        <v>994</v>
      </c>
      <c r="D8" s="186" t="s">
        <v>993</v>
      </c>
    </row>
    <row r="9" spans="1:4" ht="130.5">
      <c r="A9" s="187" t="s">
        <v>605</v>
      </c>
      <c r="B9" s="188" t="s">
        <v>1160</v>
      </c>
      <c r="C9" s="186" t="s">
        <v>1161</v>
      </c>
      <c r="D9" s="186" t="s">
        <v>273</v>
      </c>
    </row>
    <row r="10" spans="1:4" ht="116">
      <c r="A10" s="187" t="s">
        <v>1162</v>
      </c>
      <c r="B10" s="188" t="s">
        <v>1163</v>
      </c>
      <c r="C10" s="186" t="s">
        <v>995</v>
      </c>
      <c r="D10" s="186" t="s">
        <v>1164</v>
      </c>
    </row>
    <row r="11" spans="1:4" ht="101.5">
      <c r="A11" s="186" t="s">
        <v>1165</v>
      </c>
      <c r="B11" s="186" t="s">
        <v>1160</v>
      </c>
      <c r="C11" s="186" t="s">
        <v>996</v>
      </c>
      <c r="D11" s="186" t="s">
        <v>1166</v>
      </c>
    </row>
    <row r="12" spans="1:4" ht="101.5">
      <c r="A12" s="186" t="s">
        <v>1167</v>
      </c>
      <c r="B12" s="186" t="s">
        <v>1160</v>
      </c>
      <c r="C12" s="186" t="s">
        <v>1168</v>
      </c>
      <c r="D12" s="186" t="s">
        <v>1169</v>
      </c>
    </row>
    <row r="13" spans="1:4" ht="33.5" customHeight="1">
      <c r="A13" s="186" t="s">
        <v>86</v>
      </c>
      <c r="B13" s="186"/>
      <c r="C13" s="186" t="s">
        <v>606</v>
      </c>
      <c r="D13" s="186" t="s">
        <v>1170</v>
      </c>
    </row>
    <row r="14" spans="1:4">
      <c r="A14" s="186" t="s">
        <v>69</v>
      </c>
      <c r="B14" s="186"/>
      <c r="C14" s="186" t="s">
        <v>1171</v>
      </c>
      <c r="D14" s="186"/>
    </row>
    <row r="15" spans="1:4" ht="43.5">
      <c r="A15" s="186" t="s">
        <v>87</v>
      </c>
      <c r="B15" s="186"/>
      <c r="C15" s="186" t="s">
        <v>1172</v>
      </c>
      <c r="D15" s="186"/>
    </row>
    <row r="16" spans="1:4" ht="43.5">
      <c r="A16" s="186" t="s">
        <v>88</v>
      </c>
      <c r="B16" s="186"/>
      <c r="C16" s="186" t="s">
        <v>274</v>
      </c>
      <c r="D16" s="186"/>
    </row>
    <row r="17" spans="1:4" ht="43.5">
      <c r="A17" s="186" t="s">
        <v>89</v>
      </c>
      <c r="B17" s="186"/>
      <c r="C17" s="186" t="s">
        <v>1172</v>
      </c>
      <c r="D17" s="186"/>
    </row>
    <row r="18" spans="1:4" ht="43.5">
      <c r="A18" s="186" t="s">
        <v>90</v>
      </c>
      <c r="B18" s="186"/>
      <c r="C18" s="186" t="s">
        <v>1172</v>
      </c>
      <c r="D18" s="186"/>
    </row>
    <row r="19" spans="1:4" ht="72.5">
      <c r="A19" s="186" t="s">
        <v>91</v>
      </c>
      <c r="B19" s="186"/>
      <c r="C19" s="186" t="s">
        <v>1173</v>
      </c>
      <c r="D19" s="186" t="s">
        <v>275</v>
      </c>
    </row>
    <row r="20" spans="1:4" ht="43.5">
      <c r="A20" s="186" t="s">
        <v>92</v>
      </c>
      <c r="B20" s="186"/>
      <c r="C20" s="186" t="s">
        <v>1172</v>
      </c>
      <c r="D20" s="186"/>
    </row>
    <row r="21" spans="1:4" ht="72.5">
      <c r="A21" s="186" t="s">
        <v>93</v>
      </c>
      <c r="B21" s="186"/>
      <c r="C21" s="186" t="s">
        <v>1174</v>
      </c>
      <c r="D21" s="186" t="s">
        <v>275</v>
      </c>
    </row>
    <row r="22" spans="1:4" ht="43.5">
      <c r="A22" s="186" t="s">
        <v>94</v>
      </c>
      <c r="B22" s="186"/>
      <c r="C22" s="186" t="s">
        <v>1175</v>
      </c>
      <c r="D22" s="186"/>
    </row>
    <row r="23" spans="1:4" ht="72.5">
      <c r="A23" s="186" t="s">
        <v>95</v>
      </c>
      <c r="B23" s="186"/>
      <c r="C23" s="186" t="s">
        <v>1176</v>
      </c>
      <c r="D23" s="186" t="s">
        <v>275</v>
      </c>
    </row>
    <row r="24" spans="1:4" ht="43.5">
      <c r="A24" s="186" t="s">
        <v>72</v>
      </c>
      <c r="B24" s="186"/>
      <c r="C24" s="186" t="s">
        <v>1172</v>
      </c>
      <c r="D24" s="186"/>
    </row>
    <row r="25" spans="1:4" ht="43.5">
      <c r="A25" s="186" t="s">
        <v>63</v>
      </c>
      <c r="B25" s="186"/>
      <c r="C25" s="186" t="s">
        <v>1172</v>
      </c>
      <c r="D25" s="186"/>
    </row>
    <row r="26" spans="1:4">
      <c r="A26" s="186" t="s">
        <v>77</v>
      </c>
      <c r="B26" s="186"/>
      <c r="C26" s="186" t="s">
        <v>1177</v>
      </c>
      <c r="D26" s="186"/>
    </row>
    <row r="27" spans="1:4" ht="43.5">
      <c r="A27" s="186" t="s">
        <v>75</v>
      </c>
      <c r="B27" s="186"/>
      <c r="C27" s="186" t="s">
        <v>1172</v>
      </c>
      <c r="D27" s="186"/>
    </row>
    <row r="28" spans="1:4" ht="43.5">
      <c r="A28" s="186" t="s">
        <v>61</v>
      </c>
      <c r="B28" s="186"/>
      <c r="C28" s="186" t="s">
        <v>1172</v>
      </c>
      <c r="D28" s="186"/>
    </row>
    <row r="29" spans="1:4" ht="43.5">
      <c r="A29" s="186" t="s">
        <v>96</v>
      </c>
      <c r="B29" s="186"/>
      <c r="C29" s="186" t="s">
        <v>1172</v>
      </c>
      <c r="D29" s="186"/>
    </row>
    <row r="30" spans="1:4">
      <c r="A30" s="186" t="s">
        <v>67</v>
      </c>
      <c r="B30" s="186"/>
      <c r="C30" s="186" t="s">
        <v>1171</v>
      </c>
      <c r="D30" s="186"/>
    </row>
  </sheetData>
  <sheetProtection selectLockedCells="1" selectUnlockedCells="1"/>
  <phoneticPr fontId="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31222-59AF-47BE-826B-948DBC16AF3E}">
  <sheetPr codeName="Sheet11"/>
  <dimension ref="A1:D34"/>
  <sheetViews>
    <sheetView topLeftCell="A10" zoomScale="55" zoomScaleNormal="55" workbookViewId="0">
      <selection activeCell="C27" sqref="C27"/>
    </sheetView>
  </sheetViews>
  <sheetFormatPr defaultColWidth="9.1796875" defaultRowHeight="14.5"/>
  <cols>
    <col min="1" max="1" width="29.36328125" style="4" customWidth="1"/>
    <col min="2" max="2" width="46.54296875" style="4" customWidth="1"/>
    <col min="3" max="3" width="132" style="4" customWidth="1"/>
    <col min="5" max="6" width="9.1796875" style="4"/>
    <col min="7" max="7" width="10.1796875" style="4" bestFit="1" customWidth="1"/>
    <col min="8" max="8" width="22" style="4" bestFit="1" customWidth="1"/>
    <col min="9" max="9" width="21.1796875" style="4" bestFit="1" customWidth="1"/>
    <col min="10" max="10" width="21" style="4" bestFit="1" customWidth="1"/>
    <col min="11" max="11" width="21.1796875" style="4" bestFit="1" customWidth="1"/>
    <col min="12" max="12" width="19" style="4" bestFit="1" customWidth="1"/>
    <col min="13" max="14" width="20.1796875" style="4" bestFit="1" customWidth="1"/>
    <col min="15" max="16384" width="9.1796875" style="4"/>
  </cols>
  <sheetData>
    <row r="1" spans="1:4" ht="14">
      <c r="A1" s="8" t="s">
        <v>276</v>
      </c>
      <c r="B1" s="8" t="s">
        <v>254</v>
      </c>
      <c r="C1" s="8" t="s">
        <v>31</v>
      </c>
      <c r="D1" s="4"/>
    </row>
    <row r="2" spans="1:4" ht="14">
      <c r="A2" s="6" t="s">
        <v>277</v>
      </c>
      <c r="C2" s="6" t="s">
        <v>278</v>
      </c>
      <c r="D2" s="4"/>
    </row>
    <row r="3" spans="1:4" ht="14">
      <c r="A3" s="6" t="s">
        <v>279</v>
      </c>
      <c r="C3" s="6" t="s">
        <v>280</v>
      </c>
      <c r="D3" s="4"/>
    </row>
    <row r="4" spans="1:4" ht="14">
      <c r="A4" s="6" t="s">
        <v>281</v>
      </c>
      <c r="C4" s="6" t="s">
        <v>282</v>
      </c>
      <c r="D4" s="4"/>
    </row>
    <row r="5" spans="1:4" ht="14">
      <c r="A5" s="6" t="s">
        <v>283</v>
      </c>
      <c r="C5" s="6" t="s">
        <v>284</v>
      </c>
      <c r="D5" s="4"/>
    </row>
    <row r="6" spans="1:4" ht="14">
      <c r="A6" s="6" t="s">
        <v>285</v>
      </c>
      <c r="C6" s="6" t="s">
        <v>286</v>
      </c>
      <c r="D6" s="4"/>
    </row>
    <row r="7" spans="1:4" ht="14">
      <c r="A7" s="6" t="s">
        <v>287</v>
      </c>
      <c r="C7" s="6" t="s">
        <v>288</v>
      </c>
      <c r="D7" s="4"/>
    </row>
    <row r="8" spans="1:4" ht="28">
      <c r="A8" s="6" t="s">
        <v>289</v>
      </c>
      <c r="C8" s="6" t="s">
        <v>609</v>
      </c>
      <c r="D8" s="4"/>
    </row>
    <row r="9" spans="1:4" ht="28">
      <c r="A9" s="6" t="s">
        <v>290</v>
      </c>
      <c r="C9" s="6" t="s">
        <v>607</v>
      </c>
      <c r="D9" s="4"/>
    </row>
    <row r="10" spans="1:4" ht="28">
      <c r="A10" s="6" t="s">
        <v>291</v>
      </c>
      <c r="C10" s="6" t="s">
        <v>608</v>
      </c>
      <c r="D10" s="4"/>
    </row>
    <row r="11" spans="1:4" ht="14">
      <c r="A11" s="9" t="s">
        <v>292</v>
      </c>
      <c r="C11" s="9" t="s">
        <v>293</v>
      </c>
      <c r="D11" s="4"/>
    </row>
    <row r="12" spans="1:4" ht="14">
      <c r="A12" s="9" t="s">
        <v>294</v>
      </c>
      <c r="C12" s="6" t="s">
        <v>295</v>
      </c>
      <c r="D12" s="4"/>
    </row>
    <row r="13" spans="1:4" ht="14">
      <c r="A13" s="9" t="s">
        <v>296</v>
      </c>
      <c r="C13" s="6" t="s">
        <v>297</v>
      </c>
      <c r="D13" s="4"/>
    </row>
    <row r="14" spans="1:4" ht="14">
      <c r="A14" s="9" t="s">
        <v>298</v>
      </c>
      <c r="C14" s="9" t="s">
        <v>299</v>
      </c>
      <c r="D14" s="4"/>
    </row>
    <row r="15" spans="1:4" ht="14">
      <c r="A15" s="9" t="s">
        <v>300</v>
      </c>
      <c r="C15" s="9" t="s">
        <v>301</v>
      </c>
      <c r="D15" s="4"/>
    </row>
    <row r="16" spans="1:4" ht="14">
      <c r="A16" s="7" t="s">
        <v>302</v>
      </c>
      <c r="C16" s="7" t="s">
        <v>303</v>
      </c>
      <c r="D16" s="4"/>
    </row>
    <row r="17" spans="1:4" ht="14">
      <c r="A17" s="6" t="s">
        <v>304</v>
      </c>
      <c r="B17" s="15"/>
      <c r="C17" s="6" t="s">
        <v>305</v>
      </c>
      <c r="D17" s="4"/>
    </row>
    <row r="18" spans="1:4" ht="14">
      <c r="A18" s="6" t="s">
        <v>306</v>
      </c>
      <c r="B18" s="15"/>
      <c r="C18" s="6" t="s">
        <v>307</v>
      </c>
      <c r="D18" s="4"/>
    </row>
    <row r="19" spans="1:4" ht="14">
      <c r="A19" s="6" t="s">
        <v>308</v>
      </c>
      <c r="B19" s="15"/>
      <c r="C19" s="6" t="s">
        <v>309</v>
      </c>
      <c r="D19" s="4"/>
    </row>
    <row r="20" spans="1:4" ht="14">
      <c r="A20" s="6" t="s">
        <v>310</v>
      </c>
      <c r="B20" s="15"/>
      <c r="C20" s="6" t="s">
        <v>311</v>
      </c>
      <c r="D20" s="4"/>
    </row>
    <row r="21" spans="1:4" ht="14">
      <c r="A21" s="6" t="s">
        <v>312</v>
      </c>
      <c r="B21" s="15"/>
      <c r="C21" s="6" t="s">
        <v>313</v>
      </c>
      <c r="D21" s="4"/>
    </row>
    <row r="22" spans="1:4" ht="14">
      <c r="A22" s="6" t="s">
        <v>314</v>
      </c>
      <c r="B22" s="15"/>
      <c r="C22" s="6" t="s">
        <v>315</v>
      </c>
      <c r="D22" s="4"/>
    </row>
    <row r="23" spans="1:4" ht="87">
      <c r="A23" s="187" t="s">
        <v>66</v>
      </c>
      <c r="B23" s="187" t="s">
        <v>316</v>
      </c>
      <c r="C23" s="187" t="s">
        <v>1178</v>
      </c>
      <c r="D23" s="4"/>
    </row>
    <row r="24" spans="1:4" ht="130.5">
      <c r="A24" s="201" t="s">
        <v>68</v>
      </c>
      <c r="B24" s="188" t="s">
        <v>997</v>
      </c>
      <c r="C24" s="187" t="s">
        <v>1179</v>
      </c>
      <c r="D24" s="4"/>
    </row>
    <row r="25" spans="1:4" ht="87">
      <c r="A25" s="187" t="s">
        <v>70</v>
      </c>
      <c r="B25" s="187" t="s">
        <v>820</v>
      </c>
      <c r="C25" s="187" t="s">
        <v>727</v>
      </c>
      <c r="D25" s="4"/>
    </row>
    <row r="26" spans="1:4" ht="116">
      <c r="A26" s="187" t="s">
        <v>71</v>
      </c>
      <c r="B26" s="187" t="s">
        <v>821</v>
      </c>
      <c r="C26" s="187" t="s">
        <v>319</v>
      </c>
      <c r="D26" s="4"/>
    </row>
    <row r="27" spans="1:4" ht="130.5">
      <c r="A27" s="189" t="s">
        <v>73</v>
      </c>
      <c r="B27" s="187" t="s">
        <v>1180</v>
      </c>
      <c r="C27" s="187" t="s">
        <v>1181</v>
      </c>
      <c r="D27" s="4"/>
    </row>
    <row r="28" spans="1:4" ht="108" customHeight="1">
      <c r="A28" s="189" t="s">
        <v>74</v>
      </c>
      <c r="B28" s="190" t="s">
        <v>1182</v>
      </c>
      <c r="C28" s="187" t="s">
        <v>1183</v>
      </c>
      <c r="D28" s="4"/>
    </row>
    <row r="29" spans="1:4" ht="116">
      <c r="A29" s="189" t="s">
        <v>76</v>
      </c>
      <c r="B29" s="190" t="s">
        <v>1184</v>
      </c>
      <c r="C29" s="187" t="s">
        <v>318</v>
      </c>
      <c r="D29" s="4"/>
    </row>
    <row r="30" spans="1:4" ht="14">
      <c r="A30" s="9"/>
      <c r="B30" s="9"/>
      <c r="C30" s="6"/>
      <c r="D30" s="4"/>
    </row>
    <row r="31" spans="1:4" ht="14">
      <c r="A31" s="9"/>
      <c r="B31" s="9"/>
      <c r="C31" s="6"/>
      <c r="D31" s="4"/>
    </row>
    <row r="32" spans="1:4" ht="14">
      <c r="A32" s="9"/>
      <c r="B32" s="7"/>
      <c r="C32" s="6"/>
      <c r="D32" s="4"/>
    </row>
    <row r="33" spans="1:4" ht="14">
      <c r="A33" s="9" t="s">
        <v>317</v>
      </c>
      <c r="B33" s="9" t="s">
        <v>317</v>
      </c>
      <c r="C33" s="6" t="s">
        <v>317</v>
      </c>
      <c r="D33" s="4"/>
    </row>
    <row r="34" spans="1:4" ht="14">
      <c r="A34" s="7" t="s">
        <v>65</v>
      </c>
      <c r="B34" s="7" t="s">
        <v>320</v>
      </c>
      <c r="C34" s="7" t="s">
        <v>320</v>
      </c>
      <c r="D34" s="4"/>
    </row>
  </sheetData>
  <phoneticPr fontId="18" type="noConversion"/>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1055-FDE1-466E-99C2-9F05815F900F}">
  <sheetPr codeName="Sheet20"/>
  <dimension ref="B2:AH78"/>
  <sheetViews>
    <sheetView zoomScale="55" zoomScaleNormal="55" workbookViewId="0">
      <selection activeCell="K5" sqref="K5"/>
    </sheetView>
  </sheetViews>
  <sheetFormatPr defaultColWidth="9.1796875" defaultRowHeight="14"/>
  <cols>
    <col min="1" max="2" width="9.1796875" style="4"/>
    <col min="3" max="3" width="12.453125" style="4" customWidth="1"/>
    <col min="4" max="4" width="20.1796875" style="4" bestFit="1" customWidth="1"/>
    <col min="5" max="10" width="21" style="4" customWidth="1"/>
    <col min="11" max="17" width="22.54296875" style="4" customWidth="1"/>
    <col min="18" max="19" width="8.81640625" style="4" bestFit="1" customWidth="1"/>
    <col min="20" max="22" width="9.81640625" style="4" bestFit="1" customWidth="1"/>
    <col min="23" max="23" width="7" style="4" bestFit="1" customWidth="1"/>
    <col min="24" max="24" width="8.81640625" style="4" bestFit="1" customWidth="1"/>
    <col min="25" max="34" width="12.1796875" style="4" customWidth="1"/>
    <col min="35" max="36" width="9.81640625" style="4" bestFit="1" customWidth="1"/>
    <col min="37" max="16384" width="9.1796875" style="4"/>
  </cols>
  <sheetData>
    <row r="2" spans="2:13" ht="14.5">
      <c r="C2" s="44" t="s">
        <v>321</v>
      </c>
    </row>
    <row r="3" spans="2:13" ht="14.5">
      <c r="C3" s="4" t="s">
        <v>322</v>
      </c>
      <c r="D3" s="4" t="s">
        <v>102</v>
      </c>
      <c r="E3" s="4" t="s">
        <v>59</v>
      </c>
      <c r="F3" s="4" t="s">
        <v>323</v>
      </c>
      <c r="G3" s="4" t="s">
        <v>324</v>
      </c>
      <c r="H3" s="4" t="s">
        <v>325</v>
      </c>
      <c r="I3" s="4" t="s">
        <v>326</v>
      </c>
      <c r="K3" t="s">
        <v>1442</v>
      </c>
      <c r="L3" t="s">
        <v>1440</v>
      </c>
      <c r="M3" s="4" t="s">
        <v>1441</v>
      </c>
    </row>
    <row r="4" spans="2:13">
      <c r="D4" s="15" t="s">
        <v>60</v>
      </c>
      <c r="E4" s="13" t="s">
        <v>61</v>
      </c>
      <c r="F4" s="13" t="s">
        <v>61</v>
      </c>
      <c r="G4" s="13" t="s">
        <v>61</v>
      </c>
      <c r="H4" s="13" t="s">
        <v>69</v>
      </c>
      <c r="I4" s="13" t="s">
        <v>69</v>
      </c>
      <c r="K4" s="4" t="s">
        <v>102</v>
      </c>
      <c r="L4" s="4" t="s">
        <v>102</v>
      </c>
      <c r="M4" s="4" t="s">
        <v>102</v>
      </c>
    </row>
    <row r="5" spans="2:13">
      <c r="D5" s="15" t="s">
        <v>62</v>
      </c>
      <c r="E5" s="13" t="s">
        <v>63</v>
      </c>
      <c r="F5" s="13" t="s">
        <v>63</v>
      </c>
      <c r="G5" s="13" t="s">
        <v>63</v>
      </c>
      <c r="H5" s="13" t="s">
        <v>77</v>
      </c>
      <c r="I5" s="13" t="s">
        <v>77</v>
      </c>
      <c r="K5" s="4" t="s">
        <v>59</v>
      </c>
      <c r="L5" s="4" t="s">
        <v>325</v>
      </c>
      <c r="M5" s="4" t="s">
        <v>326</v>
      </c>
    </row>
    <row r="6" spans="2:13">
      <c r="D6" s="15" t="s">
        <v>64</v>
      </c>
      <c r="E6" s="13" t="s">
        <v>65</v>
      </c>
      <c r="F6" s="13" t="s">
        <v>65</v>
      </c>
      <c r="G6" s="13" t="s">
        <v>65</v>
      </c>
      <c r="H6" s="13" t="s">
        <v>65</v>
      </c>
      <c r="I6" s="13" t="s">
        <v>65</v>
      </c>
      <c r="K6" s="4" t="s">
        <v>323</v>
      </c>
    </row>
    <row r="7" spans="2:13">
      <c r="D7" s="15" t="s">
        <v>66</v>
      </c>
      <c r="E7" s="13" t="s">
        <v>67</v>
      </c>
      <c r="F7" s="13" t="s">
        <v>67</v>
      </c>
      <c r="G7" s="13" t="s">
        <v>67</v>
      </c>
      <c r="H7" s="13" t="s">
        <v>67</v>
      </c>
      <c r="I7" s="13" t="s">
        <v>67</v>
      </c>
      <c r="K7" s="4" t="s">
        <v>324</v>
      </c>
    </row>
    <row r="8" spans="2:13">
      <c r="D8" s="15" t="s">
        <v>68</v>
      </c>
      <c r="E8" s="13" t="s">
        <v>69</v>
      </c>
      <c r="F8" s="13" t="s">
        <v>69</v>
      </c>
      <c r="G8" s="13" t="s">
        <v>69</v>
      </c>
      <c r="H8" s="13" t="s">
        <v>72</v>
      </c>
      <c r="I8" s="13" t="s">
        <v>72</v>
      </c>
    </row>
    <row r="9" spans="2:13">
      <c r="D9" s="15" t="s">
        <v>70</v>
      </c>
      <c r="E9" s="13" t="s">
        <v>65</v>
      </c>
      <c r="F9" s="13" t="s">
        <v>75</v>
      </c>
      <c r="G9" s="13" t="s">
        <v>65</v>
      </c>
      <c r="H9" s="13" t="s">
        <v>65</v>
      </c>
      <c r="I9" s="13" t="s">
        <v>65</v>
      </c>
    </row>
    <row r="10" spans="2:13">
      <c r="D10" s="15" t="s">
        <v>71</v>
      </c>
      <c r="E10" s="13" t="s">
        <v>72</v>
      </c>
      <c r="F10" s="13" t="s">
        <v>72</v>
      </c>
      <c r="G10" s="13" t="s">
        <v>72</v>
      </c>
      <c r="H10" s="13" t="s">
        <v>75</v>
      </c>
      <c r="I10" s="13" t="s">
        <v>75</v>
      </c>
    </row>
    <row r="11" spans="2:13">
      <c r="D11" s="15" t="s">
        <v>73</v>
      </c>
      <c r="E11" s="13" t="s">
        <v>65</v>
      </c>
      <c r="F11" s="13" t="s">
        <v>65</v>
      </c>
      <c r="G11" s="13" t="s">
        <v>75</v>
      </c>
      <c r="H11" s="13" t="s">
        <v>61</v>
      </c>
      <c r="I11" s="13" t="s">
        <v>61</v>
      </c>
    </row>
    <row r="12" spans="2:13">
      <c r="D12" s="15" t="s">
        <v>74</v>
      </c>
      <c r="E12" s="13" t="s">
        <v>75</v>
      </c>
      <c r="F12" s="13" t="s">
        <v>65</v>
      </c>
      <c r="G12" s="13" t="s">
        <v>65</v>
      </c>
      <c r="H12" s="13" t="s">
        <v>65</v>
      </c>
      <c r="I12" s="13" t="s">
        <v>65</v>
      </c>
    </row>
    <row r="13" spans="2:13">
      <c r="D13" s="22" t="s">
        <v>76</v>
      </c>
      <c r="E13" s="13" t="s">
        <v>77</v>
      </c>
      <c r="F13" s="13" t="s">
        <v>77</v>
      </c>
      <c r="G13" s="13" t="s">
        <v>77</v>
      </c>
      <c r="H13" s="13" t="s">
        <v>65</v>
      </c>
      <c r="I13" s="13" t="s">
        <v>65</v>
      </c>
    </row>
    <row r="14" spans="2:13" ht="14.5">
      <c r="C14"/>
    </row>
    <row r="15" spans="2:13" ht="14.5">
      <c r="B15"/>
      <c r="C15"/>
    </row>
    <row r="16" spans="2:13" ht="14.5">
      <c r="B16"/>
      <c r="C16"/>
    </row>
    <row r="19" spans="3:34" ht="14.5">
      <c r="C19" s="45" t="s">
        <v>327</v>
      </c>
    </row>
    <row r="20" spans="3:34" ht="95.5">
      <c r="C20" s="14" t="s">
        <v>18</v>
      </c>
      <c r="D20" s="19" t="s">
        <v>277</v>
      </c>
      <c r="E20" s="20" t="s">
        <v>279</v>
      </c>
      <c r="F20" s="20" t="s">
        <v>281</v>
      </c>
      <c r="G20" s="20" t="s">
        <v>283</v>
      </c>
      <c r="H20" s="20" t="s">
        <v>285</v>
      </c>
      <c r="I20" s="20" t="s">
        <v>287</v>
      </c>
      <c r="J20" s="20" t="s">
        <v>289</v>
      </c>
      <c r="K20" s="20" t="s">
        <v>290</v>
      </c>
      <c r="L20" s="20" t="s">
        <v>291</v>
      </c>
      <c r="M20" s="20" t="s">
        <v>292</v>
      </c>
      <c r="N20" s="20" t="s">
        <v>294</v>
      </c>
      <c r="O20" s="20" t="s">
        <v>296</v>
      </c>
      <c r="P20" s="20" t="s">
        <v>298</v>
      </c>
      <c r="Q20" s="20" t="s">
        <v>300</v>
      </c>
      <c r="R20" s="20" t="s">
        <v>302</v>
      </c>
      <c r="S20" s="20" t="s">
        <v>304</v>
      </c>
      <c r="T20" s="20" t="s">
        <v>306</v>
      </c>
      <c r="U20" s="20" t="s">
        <v>308</v>
      </c>
      <c r="V20" s="20" t="s">
        <v>310</v>
      </c>
      <c r="W20" s="21" t="s">
        <v>312</v>
      </c>
      <c r="X20" s="21" t="s">
        <v>314</v>
      </c>
      <c r="Y20" s="20" t="s">
        <v>60</v>
      </c>
      <c r="Z20" s="20" t="s">
        <v>62</v>
      </c>
      <c r="AA20" s="20" t="s">
        <v>64</v>
      </c>
      <c r="AB20" s="20" t="s">
        <v>66</v>
      </c>
      <c r="AC20" s="20" t="s">
        <v>68</v>
      </c>
      <c r="AD20" s="20" t="s">
        <v>70</v>
      </c>
      <c r="AE20" s="20" t="s">
        <v>71</v>
      </c>
      <c r="AF20" s="20" t="s">
        <v>73</v>
      </c>
      <c r="AG20" s="20" t="s">
        <v>74</v>
      </c>
      <c r="AH20" s="20" t="s">
        <v>76</v>
      </c>
    </row>
    <row r="21" spans="3:34">
      <c r="C21" s="15" t="s">
        <v>69</v>
      </c>
      <c r="D21" s="16"/>
      <c r="E21" s="15"/>
      <c r="F21" s="15"/>
      <c r="G21" s="15"/>
      <c r="H21" s="15"/>
      <c r="I21" s="15"/>
      <c r="J21" s="15"/>
      <c r="K21" s="15"/>
      <c r="L21" s="15"/>
      <c r="M21" s="15"/>
      <c r="N21" s="15"/>
      <c r="O21" s="15"/>
      <c r="P21" s="15"/>
      <c r="Q21" s="15"/>
      <c r="R21" s="15"/>
      <c r="S21" s="15"/>
      <c r="T21" s="15"/>
      <c r="U21" s="15"/>
      <c r="V21" s="15"/>
      <c r="W21" s="15"/>
      <c r="X21" s="15"/>
      <c r="Y21" s="15" t="s">
        <v>65</v>
      </c>
      <c r="Z21" s="15" t="s">
        <v>65</v>
      </c>
      <c r="AA21" s="15" t="s">
        <v>65</v>
      </c>
      <c r="AB21" s="15" t="s">
        <v>69</v>
      </c>
      <c r="AC21" s="15" t="s">
        <v>69</v>
      </c>
      <c r="AD21" s="15" t="s">
        <v>69</v>
      </c>
      <c r="AE21" s="15" t="s">
        <v>69</v>
      </c>
      <c r="AF21" s="15" t="s">
        <v>69</v>
      </c>
      <c r="AG21" s="15" t="s">
        <v>69</v>
      </c>
      <c r="AH21" s="15" t="s">
        <v>69</v>
      </c>
    </row>
    <row r="22" spans="3:34">
      <c r="C22" s="15" t="s">
        <v>87</v>
      </c>
      <c r="D22" s="16"/>
      <c r="E22" s="15"/>
      <c r="F22" s="15" t="s">
        <v>87</v>
      </c>
      <c r="G22" s="15"/>
      <c r="H22" s="15"/>
      <c r="I22" s="15"/>
      <c r="J22" s="15"/>
      <c r="K22" s="15"/>
      <c r="L22" s="15"/>
      <c r="M22" s="15"/>
      <c r="N22" s="15"/>
      <c r="O22" s="15"/>
      <c r="P22" s="15"/>
      <c r="Q22" s="15"/>
      <c r="R22" s="15"/>
      <c r="S22" s="15"/>
      <c r="T22" s="15"/>
      <c r="U22" s="15"/>
      <c r="V22" s="15"/>
      <c r="W22" s="15"/>
      <c r="X22" s="15"/>
      <c r="Y22" s="15" t="s">
        <v>65</v>
      </c>
      <c r="Z22" s="15" t="s">
        <v>65</v>
      </c>
      <c r="AA22" s="15" t="s">
        <v>65</v>
      </c>
      <c r="AB22" s="15" t="s">
        <v>65</v>
      </c>
      <c r="AC22" s="15" t="s">
        <v>65</v>
      </c>
      <c r="AD22" s="15" t="s">
        <v>65</v>
      </c>
      <c r="AE22" s="15" t="s">
        <v>65</v>
      </c>
      <c r="AF22" s="15" t="s">
        <v>65</v>
      </c>
      <c r="AG22" s="15" t="s">
        <v>65</v>
      </c>
      <c r="AH22" s="15" t="s">
        <v>65</v>
      </c>
    </row>
    <row r="23" spans="3:34">
      <c r="C23" s="15" t="s">
        <v>88</v>
      </c>
      <c r="D23" s="16" t="s">
        <v>88</v>
      </c>
      <c r="E23" s="15"/>
      <c r="F23" s="15"/>
      <c r="G23" s="15"/>
      <c r="H23" s="15"/>
      <c r="I23" s="15"/>
      <c r="J23" s="15"/>
      <c r="K23" s="15"/>
      <c r="L23" s="15"/>
      <c r="M23" s="15"/>
      <c r="N23" s="15"/>
      <c r="O23" s="15"/>
      <c r="P23" s="15"/>
      <c r="Q23" s="15"/>
      <c r="R23" s="15"/>
      <c r="S23" s="15"/>
      <c r="T23" s="15"/>
      <c r="U23" s="15"/>
      <c r="V23" s="15"/>
      <c r="W23" s="15"/>
      <c r="X23" s="15"/>
      <c r="Y23" s="15" t="s">
        <v>65</v>
      </c>
      <c r="Z23" s="15" t="s">
        <v>65</v>
      </c>
      <c r="AA23" s="15" t="s">
        <v>65</v>
      </c>
      <c r="AB23" s="15" t="s">
        <v>65</v>
      </c>
      <c r="AC23" s="15" t="s">
        <v>65</v>
      </c>
      <c r="AD23" s="15" t="s">
        <v>65</v>
      </c>
      <c r="AE23" s="15" t="s">
        <v>65</v>
      </c>
      <c r="AF23" s="15" t="s">
        <v>65</v>
      </c>
      <c r="AG23" s="15" t="s">
        <v>65</v>
      </c>
      <c r="AH23" s="15" t="s">
        <v>65</v>
      </c>
    </row>
    <row r="24" spans="3:34">
      <c r="C24" s="15" t="s">
        <v>89</v>
      </c>
      <c r="D24" s="16"/>
      <c r="E24" s="15"/>
      <c r="F24" s="15"/>
      <c r="G24" s="15" t="s">
        <v>89</v>
      </c>
      <c r="H24" s="15"/>
      <c r="I24" s="15"/>
      <c r="J24" s="15"/>
      <c r="K24" s="15"/>
      <c r="L24" s="15"/>
      <c r="M24" s="15"/>
      <c r="N24" s="15"/>
      <c r="O24" s="15"/>
      <c r="P24" s="15"/>
      <c r="Q24" s="15"/>
      <c r="R24" s="15"/>
      <c r="S24" s="15"/>
      <c r="T24" s="15"/>
      <c r="U24" s="15"/>
      <c r="V24" s="15"/>
      <c r="W24" s="15"/>
      <c r="X24" s="15"/>
      <c r="Y24" s="15" t="s">
        <v>65</v>
      </c>
      <c r="Z24" s="15" t="s">
        <v>65</v>
      </c>
      <c r="AA24" s="15" t="s">
        <v>65</v>
      </c>
      <c r="AB24" s="15" t="s">
        <v>65</v>
      </c>
      <c r="AC24" s="15" t="s">
        <v>65</v>
      </c>
      <c r="AD24" s="15" t="s">
        <v>65</v>
      </c>
      <c r="AE24" s="15" t="s">
        <v>65</v>
      </c>
      <c r="AF24" s="15" t="s">
        <v>65</v>
      </c>
      <c r="AG24" s="15" t="s">
        <v>65</v>
      </c>
      <c r="AH24" s="15" t="s">
        <v>65</v>
      </c>
    </row>
    <row r="25" spans="3:34">
      <c r="C25" s="15" t="s">
        <v>90</v>
      </c>
      <c r="D25" s="16"/>
      <c r="E25" s="15" t="s">
        <v>90</v>
      </c>
      <c r="F25" s="15"/>
      <c r="G25" s="15"/>
      <c r="H25" s="15"/>
      <c r="I25" s="15"/>
      <c r="J25" s="15"/>
      <c r="K25" s="15"/>
      <c r="L25" s="15"/>
      <c r="M25" s="15"/>
      <c r="N25" s="15"/>
      <c r="O25" s="15"/>
      <c r="P25" s="15"/>
      <c r="Q25" s="15"/>
      <c r="R25" s="15"/>
      <c r="S25" s="15"/>
      <c r="T25" s="15"/>
      <c r="U25" s="15"/>
      <c r="V25" s="15"/>
      <c r="W25" s="15"/>
      <c r="X25" s="15"/>
      <c r="Y25" s="15" t="s">
        <v>65</v>
      </c>
      <c r="Z25" s="15" t="s">
        <v>65</v>
      </c>
      <c r="AA25" s="15" t="s">
        <v>65</v>
      </c>
      <c r="AB25" s="15" t="s">
        <v>65</v>
      </c>
      <c r="AC25" s="15" t="s">
        <v>65</v>
      </c>
      <c r="AD25" s="15" t="s">
        <v>65</v>
      </c>
      <c r="AE25" s="15" t="s">
        <v>65</v>
      </c>
      <c r="AF25" s="15" t="s">
        <v>65</v>
      </c>
      <c r="AG25" s="15" t="s">
        <v>65</v>
      </c>
      <c r="AH25" s="15" t="s">
        <v>65</v>
      </c>
    </row>
    <row r="26" spans="3:34">
      <c r="C26" s="15" t="s">
        <v>91</v>
      </c>
      <c r="D26" s="16"/>
      <c r="E26" s="15"/>
      <c r="F26" s="15"/>
      <c r="G26" s="15"/>
      <c r="H26" s="15"/>
      <c r="I26" s="15" t="s">
        <v>91</v>
      </c>
      <c r="J26" s="15"/>
      <c r="K26" s="15"/>
      <c r="L26" s="15"/>
      <c r="M26" s="15"/>
      <c r="N26" s="15"/>
      <c r="O26" s="15"/>
      <c r="P26" s="15"/>
      <c r="Q26" s="15"/>
      <c r="R26" s="15"/>
      <c r="S26" s="15"/>
      <c r="T26" s="15"/>
      <c r="U26" s="15"/>
      <c r="V26" s="15"/>
      <c r="W26" s="15"/>
      <c r="X26" s="15"/>
      <c r="Y26" s="15" t="s">
        <v>65</v>
      </c>
      <c r="Z26" s="15" t="s">
        <v>65</v>
      </c>
      <c r="AA26" s="15" t="s">
        <v>65</v>
      </c>
      <c r="AB26" s="15" t="s">
        <v>65</v>
      </c>
      <c r="AC26" s="15" t="s">
        <v>65</v>
      </c>
      <c r="AD26" s="15" t="s">
        <v>65</v>
      </c>
      <c r="AE26" s="15" t="s">
        <v>65</v>
      </c>
      <c r="AF26" s="15" t="s">
        <v>65</v>
      </c>
      <c r="AG26" s="15" t="s">
        <v>65</v>
      </c>
      <c r="AH26" s="15" t="s">
        <v>65</v>
      </c>
    </row>
    <row r="27" spans="3:34">
      <c r="C27" s="15" t="s">
        <v>92</v>
      </c>
      <c r="D27" s="16"/>
      <c r="E27" s="15"/>
      <c r="F27" s="15"/>
      <c r="G27" s="15"/>
      <c r="H27" s="15" t="s">
        <v>92</v>
      </c>
      <c r="I27" s="15"/>
      <c r="J27" s="15"/>
      <c r="K27" s="15"/>
      <c r="L27" s="15"/>
      <c r="M27" s="15"/>
      <c r="N27" s="15"/>
      <c r="O27" s="15"/>
      <c r="P27" s="15"/>
      <c r="Q27" s="15"/>
      <c r="R27" s="15"/>
      <c r="S27" s="15"/>
      <c r="T27" s="15"/>
      <c r="U27" s="15"/>
      <c r="V27" s="15"/>
      <c r="W27" s="15"/>
      <c r="X27" s="15"/>
      <c r="Y27" s="15" t="s">
        <v>65</v>
      </c>
      <c r="Z27" s="15" t="s">
        <v>65</v>
      </c>
      <c r="AA27" s="15" t="s">
        <v>65</v>
      </c>
      <c r="AB27" s="15" t="s">
        <v>65</v>
      </c>
      <c r="AC27" s="15" t="s">
        <v>65</v>
      </c>
      <c r="AD27" s="15" t="s">
        <v>65</v>
      </c>
      <c r="AE27" s="15" t="s">
        <v>65</v>
      </c>
      <c r="AF27" s="15" t="s">
        <v>65</v>
      </c>
      <c r="AG27" s="15" t="s">
        <v>65</v>
      </c>
      <c r="AH27" s="15" t="s">
        <v>65</v>
      </c>
    </row>
    <row r="28" spans="3:34">
      <c r="C28" s="15" t="s">
        <v>93</v>
      </c>
      <c r="D28" s="16"/>
      <c r="E28" s="15"/>
      <c r="F28" s="15"/>
      <c r="G28" s="15"/>
      <c r="H28" s="15"/>
      <c r="I28" s="15"/>
      <c r="J28" s="15"/>
      <c r="K28" s="15" t="s">
        <v>93</v>
      </c>
      <c r="L28" s="15"/>
      <c r="M28" s="15"/>
      <c r="N28" s="15"/>
      <c r="O28" s="15"/>
      <c r="P28" s="15"/>
      <c r="Q28" s="15"/>
      <c r="R28" s="15"/>
      <c r="S28" s="15"/>
      <c r="T28" s="15"/>
      <c r="U28" s="15"/>
      <c r="V28" s="15"/>
      <c r="W28" s="15"/>
      <c r="X28" s="15"/>
      <c r="Y28" s="15" t="s">
        <v>65</v>
      </c>
      <c r="Z28" s="15" t="s">
        <v>65</v>
      </c>
      <c r="AA28" s="15" t="s">
        <v>65</v>
      </c>
      <c r="AB28" s="15" t="s">
        <v>65</v>
      </c>
      <c r="AC28" s="15" t="s">
        <v>65</v>
      </c>
      <c r="AD28" s="15" t="s">
        <v>65</v>
      </c>
      <c r="AE28" s="15" t="s">
        <v>65</v>
      </c>
      <c r="AF28" s="15" t="s">
        <v>65</v>
      </c>
      <c r="AG28" s="15" t="s">
        <v>65</v>
      </c>
      <c r="AH28" s="15" t="s">
        <v>65</v>
      </c>
    </row>
    <row r="29" spans="3:34">
      <c r="C29" s="15" t="s">
        <v>94</v>
      </c>
      <c r="D29" s="16"/>
      <c r="E29" s="15"/>
      <c r="F29" s="15"/>
      <c r="G29" s="15"/>
      <c r="H29" s="15"/>
      <c r="I29" s="15"/>
      <c r="J29" s="15"/>
      <c r="K29" s="15"/>
      <c r="L29" s="15" t="s">
        <v>94</v>
      </c>
      <c r="M29" s="15"/>
      <c r="N29" s="15"/>
      <c r="O29" s="15"/>
      <c r="P29" s="15"/>
      <c r="Q29" s="15"/>
      <c r="R29" s="15"/>
      <c r="S29" s="15"/>
      <c r="T29" s="15"/>
      <c r="U29" s="15"/>
      <c r="V29" s="15"/>
      <c r="W29" s="15"/>
      <c r="X29" s="15"/>
      <c r="Y29" s="15" t="s">
        <v>65</v>
      </c>
      <c r="Z29" s="15" t="s">
        <v>65</v>
      </c>
      <c r="AA29" s="15" t="s">
        <v>65</v>
      </c>
      <c r="AB29" s="15" t="s">
        <v>65</v>
      </c>
      <c r="AC29" s="15" t="s">
        <v>65</v>
      </c>
      <c r="AD29" s="15" t="s">
        <v>65</v>
      </c>
      <c r="AE29" s="15" t="s">
        <v>65</v>
      </c>
      <c r="AF29" s="15" t="s">
        <v>65</v>
      </c>
      <c r="AG29" s="15" t="s">
        <v>65</v>
      </c>
      <c r="AH29" s="15" t="s">
        <v>65</v>
      </c>
    </row>
    <row r="30" spans="3:34">
      <c r="C30" s="15" t="s">
        <v>95</v>
      </c>
      <c r="D30" s="16"/>
      <c r="E30" s="15"/>
      <c r="F30" s="15"/>
      <c r="G30" s="15"/>
      <c r="H30" s="15"/>
      <c r="I30" s="15"/>
      <c r="J30" s="15" t="s">
        <v>95</v>
      </c>
      <c r="K30" s="15"/>
      <c r="L30" s="15"/>
      <c r="M30" s="15"/>
      <c r="N30" s="15"/>
      <c r="O30" s="15"/>
      <c r="P30" s="15"/>
      <c r="Q30" s="15"/>
      <c r="R30" s="15"/>
      <c r="S30" s="15"/>
      <c r="T30" s="15"/>
      <c r="U30" s="15"/>
      <c r="V30" s="15"/>
      <c r="W30" s="15"/>
      <c r="X30" s="15"/>
      <c r="Y30" s="15" t="s">
        <v>65</v>
      </c>
      <c r="Z30" s="15" t="s">
        <v>65</v>
      </c>
      <c r="AA30" s="15" t="s">
        <v>65</v>
      </c>
      <c r="AB30" s="15" t="s">
        <v>65</v>
      </c>
      <c r="AC30" s="15" t="s">
        <v>65</v>
      </c>
      <c r="AD30" s="15" t="s">
        <v>65</v>
      </c>
      <c r="AE30" s="15" t="s">
        <v>65</v>
      </c>
      <c r="AF30" s="15" t="s">
        <v>65</v>
      </c>
      <c r="AG30" s="15" t="s">
        <v>65</v>
      </c>
      <c r="AH30" s="15" t="s">
        <v>65</v>
      </c>
    </row>
    <row r="31" spans="3:34">
      <c r="C31" s="15" t="s">
        <v>72</v>
      </c>
      <c r="D31" s="16"/>
      <c r="E31" s="15"/>
      <c r="F31" s="15"/>
      <c r="G31" s="15"/>
      <c r="H31" s="15"/>
      <c r="I31" s="15"/>
      <c r="J31" s="15"/>
      <c r="K31" s="15"/>
      <c r="L31" s="15"/>
      <c r="M31" s="15"/>
      <c r="N31" s="15"/>
      <c r="O31" s="15"/>
      <c r="P31" s="15"/>
      <c r="Q31" s="15"/>
      <c r="R31" s="15"/>
      <c r="S31" s="15"/>
      <c r="T31" s="15"/>
      <c r="U31" s="15"/>
      <c r="V31" s="15"/>
      <c r="W31" s="15"/>
      <c r="X31" s="15"/>
      <c r="Y31" s="15" t="s">
        <v>65</v>
      </c>
      <c r="Z31" s="15" t="s">
        <v>65</v>
      </c>
      <c r="AA31" s="15" t="s">
        <v>65</v>
      </c>
      <c r="AB31" s="15" t="s">
        <v>72</v>
      </c>
      <c r="AC31" s="15" t="s">
        <v>72</v>
      </c>
      <c r="AD31" s="15" t="s">
        <v>72</v>
      </c>
      <c r="AE31" s="15" t="s">
        <v>72</v>
      </c>
      <c r="AF31" s="15" t="s">
        <v>72</v>
      </c>
      <c r="AG31" s="15" t="s">
        <v>72</v>
      </c>
      <c r="AH31" s="15" t="s">
        <v>72</v>
      </c>
    </row>
    <row r="32" spans="3:34">
      <c r="C32" s="15" t="s">
        <v>63</v>
      </c>
      <c r="D32" s="16"/>
      <c r="E32" s="15"/>
      <c r="F32" s="15"/>
      <c r="G32" s="15"/>
      <c r="H32" s="15"/>
      <c r="I32" s="15"/>
      <c r="J32" s="15"/>
      <c r="K32" s="15"/>
      <c r="L32" s="15"/>
      <c r="M32" s="15"/>
      <c r="N32" s="15"/>
      <c r="O32" s="15"/>
      <c r="P32" s="15"/>
      <c r="Q32" s="15"/>
      <c r="R32" s="15"/>
      <c r="S32" s="15"/>
      <c r="T32" s="15"/>
      <c r="U32" s="15"/>
      <c r="V32" s="15"/>
      <c r="W32" s="15"/>
      <c r="X32" s="15"/>
      <c r="Y32" s="15" t="s">
        <v>65</v>
      </c>
      <c r="Z32" s="15" t="s">
        <v>65</v>
      </c>
      <c r="AA32" s="15" t="s">
        <v>65</v>
      </c>
      <c r="AB32" s="15" t="s">
        <v>63</v>
      </c>
      <c r="AC32" s="15" t="s">
        <v>63</v>
      </c>
      <c r="AD32" s="15" t="s">
        <v>63</v>
      </c>
      <c r="AE32" s="15" t="s">
        <v>63</v>
      </c>
      <c r="AF32" s="15" t="s">
        <v>63</v>
      </c>
      <c r="AG32" s="15" t="s">
        <v>63</v>
      </c>
      <c r="AH32" s="15" t="s">
        <v>63</v>
      </c>
    </row>
    <row r="33" spans="3:34">
      <c r="C33" s="15" t="s">
        <v>77</v>
      </c>
      <c r="D33" s="16"/>
      <c r="E33" s="15"/>
      <c r="F33" s="15"/>
      <c r="G33" s="15"/>
      <c r="H33" s="15"/>
      <c r="I33" s="15"/>
      <c r="J33" s="15"/>
      <c r="K33" s="15"/>
      <c r="L33" s="15"/>
      <c r="M33" s="15"/>
      <c r="N33" s="15"/>
      <c r="O33" s="15"/>
      <c r="P33" s="15"/>
      <c r="Q33" s="15"/>
      <c r="R33" s="15"/>
      <c r="S33" s="15"/>
      <c r="T33" s="15"/>
      <c r="U33" s="15"/>
      <c r="V33" s="15"/>
      <c r="W33" s="15"/>
      <c r="X33" s="15"/>
      <c r="Y33" s="15" t="s">
        <v>65</v>
      </c>
      <c r="Z33" s="15" t="s">
        <v>65</v>
      </c>
      <c r="AA33" s="15" t="s">
        <v>65</v>
      </c>
      <c r="AB33" s="15" t="s">
        <v>77</v>
      </c>
      <c r="AC33" s="15" t="s">
        <v>77</v>
      </c>
      <c r="AD33" s="15" t="s">
        <v>77</v>
      </c>
      <c r="AE33" s="15" t="s">
        <v>77</v>
      </c>
      <c r="AF33" s="15" t="s">
        <v>77</v>
      </c>
      <c r="AG33" s="15" t="s">
        <v>77</v>
      </c>
      <c r="AH33" s="15" t="s">
        <v>77</v>
      </c>
    </row>
    <row r="34" spans="3:34">
      <c r="C34" s="15" t="s">
        <v>75</v>
      </c>
      <c r="D34" s="16"/>
      <c r="E34" s="15"/>
      <c r="F34" s="15"/>
      <c r="G34" s="15"/>
      <c r="H34" s="15"/>
      <c r="I34" s="15"/>
      <c r="J34" s="15"/>
      <c r="K34" s="15"/>
      <c r="L34" s="15"/>
      <c r="M34" s="15"/>
      <c r="N34" s="15"/>
      <c r="O34" s="15"/>
      <c r="P34" s="15"/>
      <c r="Q34" s="15"/>
      <c r="R34" s="15"/>
      <c r="S34" s="15"/>
      <c r="T34" s="15"/>
      <c r="U34" s="15"/>
      <c r="V34" s="15"/>
      <c r="W34" s="15"/>
      <c r="X34" s="15"/>
      <c r="Y34" s="15" t="s">
        <v>65</v>
      </c>
      <c r="Z34" s="15" t="s">
        <v>65</v>
      </c>
      <c r="AA34" s="15" t="s">
        <v>65</v>
      </c>
      <c r="AB34" s="15" t="s">
        <v>75</v>
      </c>
      <c r="AC34" s="15" t="s">
        <v>75</v>
      </c>
      <c r="AD34" s="15" t="s">
        <v>75</v>
      </c>
      <c r="AE34" s="15" t="s">
        <v>75</v>
      </c>
      <c r="AF34" s="15" t="s">
        <v>75</v>
      </c>
      <c r="AG34" s="15" t="s">
        <v>75</v>
      </c>
      <c r="AH34" s="15" t="s">
        <v>75</v>
      </c>
    </row>
    <row r="35" spans="3:34">
      <c r="C35" s="15" t="s">
        <v>61</v>
      </c>
      <c r="D35" s="16"/>
      <c r="E35" s="15"/>
      <c r="F35" s="15"/>
      <c r="G35" s="15"/>
      <c r="H35" s="15"/>
      <c r="I35" s="15"/>
      <c r="J35" s="15"/>
      <c r="K35" s="15"/>
      <c r="L35" s="15"/>
      <c r="M35" s="15"/>
      <c r="N35" s="15"/>
      <c r="O35" s="15"/>
      <c r="P35" s="15"/>
      <c r="Q35" s="15"/>
      <c r="R35" s="15"/>
      <c r="S35" s="15"/>
      <c r="T35" s="15"/>
      <c r="U35" s="15"/>
      <c r="V35" s="15"/>
      <c r="W35" s="15"/>
      <c r="X35" s="15"/>
      <c r="Y35" s="15" t="s">
        <v>65</v>
      </c>
      <c r="Z35" s="15" t="s">
        <v>65</v>
      </c>
      <c r="AA35" s="15" t="s">
        <v>65</v>
      </c>
      <c r="AB35" s="15" t="s">
        <v>61</v>
      </c>
      <c r="AC35" s="15" t="s">
        <v>61</v>
      </c>
      <c r="AD35" s="15" t="s">
        <v>61</v>
      </c>
      <c r="AE35" s="15" t="s">
        <v>61</v>
      </c>
      <c r="AF35" s="15" t="s">
        <v>61</v>
      </c>
      <c r="AG35" s="15" t="s">
        <v>61</v>
      </c>
      <c r="AH35" s="15" t="s">
        <v>61</v>
      </c>
    </row>
    <row r="36" spans="3:34">
      <c r="C36" s="15" t="s">
        <v>96</v>
      </c>
      <c r="D36" s="16"/>
      <c r="E36" s="15"/>
      <c r="F36" s="15"/>
      <c r="G36" s="15"/>
      <c r="H36" s="15"/>
      <c r="I36" s="15"/>
      <c r="J36" s="15"/>
      <c r="K36" s="15"/>
      <c r="L36" s="15"/>
      <c r="M36" s="15" t="s">
        <v>96</v>
      </c>
      <c r="N36" s="15"/>
      <c r="O36" s="15"/>
      <c r="P36" s="15"/>
      <c r="Q36" s="15"/>
      <c r="R36" s="15"/>
      <c r="S36" s="15"/>
      <c r="T36" s="15"/>
      <c r="U36" s="15"/>
      <c r="V36" s="15"/>
      <c r="W36" s="15"/>
      <c r="X36" s="15"/>
      <c r="Y36" s="15" t="s">
        <v>65</v>
      </c>
      <c r="Z36" s="15" t="s">
        <v>65</v>
      </c>
      <c r="AA36" s="15" t="s">
        <v>65</v>
      </c>
      <c r="AB36" s="15" t="s">
        <v>65</v>
      </c>
      <c r="AC36" s="15" t="s">
        <v>65</v>
      </c>
      <c r="AD36" s="15" t="s">
        <v>65</v>
      </c>
      <c r="AE36" s="15" t="s">
        <v>65</v>
      </c>
      <c r="AF36" s="15" t="s">
        <v>65</v>
      </c>
      <c r="AG36" s="15" t="s">
        <v>65</v>
      </c>
      <c r="AH36" s="15" t="s">
        <v>65</v>
      </c>
    </row>
    <row r="37" spans="3:34">
      <c r="C37" s="15" t="s">
        <v>67</v>
      </c>
      <c r="D37" s="18"/>
      <c r="E37" s="22"/>
      <c r="F37" s="22"/>
      <c r="G37" s="22"/>
      <c r="H37" s="22"/>
      <c r="I37" s="22"/>
      <c r="J37" s="22"/>
      <c r="K37" s="22"/>
      <c r="L37" s="22"/>
      <c r="M37" s="15"/>
      <c r="N37" s="22"/>
      <c r="O37" s="22"/>
      <c r="P37" s="22"/>
      <c r="Q37" s="22"/>
      <c r="R37" s="22"/>
      <c r="S37" s="22"/>
      <c r="T37" s="22"/>
      <c r="U37" s="22"/>
      <c r="V37" s="22"/>
      <c r="W37" s="22"/>
      <c r="X37" s="22"/>
      <c r="Y37" s="22" t="s">
        <v>65</v>
      </c>
      <c r="Z37" s="15" t="s">
        <v>65</v>
      </c>
      <c r="AA37" s="22" t="s">
        <v>65</v>
      </c>
      <c r="AB37" s="15" t="s">
        <v>67</v>
      </c>
      <c r="AC37" s="15" t="s">
        <v>67</v>
      </c>
      <c r="AD37" s="15" t="s">
        <v>67</v>
      </c>
      <c r="AE37" s="15" t="s">
        <v>67</v>
      </c>
      <c r="AF37" s="15" t="s">
        <v>67</v>
      </c>
      <c r="AG37" s="15" t="s">
        <v>67</v>
      </c>
      <c r="AH37" s="15" t="s">
        <v>67</v>
      </c>
    </row>
    <row r="38" spans="3:34">
      <c r="C38" s="15" t="s">
        <v>65</v>
      </c>
      <c r="D38" s="18"/>
      <c r="E38" s="22"/>
      <c r="F38" s="22"/>
      <c r="G38" s="22"/>
      <c r="H38" s="22"/>
      <c r="I38" s="22"/>
      <c r="J38" s="22"/>
      <c r="K38" s="22"/>
      <c r="L38" s="22"/>
      <c r="M38" s="22"/>
      <c r="N38" s="22"/>
      <c r="O38" s="22"/>
      <c r="P38" s="22"/>
      <c r="Q38" s="22"/>
      <c r="R38" s="22"/>
      <c r="S38" s="22"/>
      <c r="T38" s="22"/>
      <c r="U38" s="22"/>
      <c r="V38" s="22"/>
      <c r="W38" s="22"/>
      <c r="X38" s="22"/>
      <c r="Y38" s="22" t="s">
        <v>65</v>
      </c>
      <c r="Z38" s="22" t="s">
        <v>65</v>
      </c>
      <c r="AA38" s="22" t="s">
        <v>65</v>
      </c>
      <c r="AB38" s="22" t="s">
        <v>65</v>
      </c>
      <c r="AC38" s="22" t="s">
        <v>65</v>
      </c>
      <c r="AD38" s="22" t="s">
        <v>65</v>
      </c>
      <c r="AE38" s="22" t="s">
        <v>65</v>
      </c>
      <c r="AF38" s="22" t="s">
        <v>65</v>
      </c>
      <c r="AG38" s="22" t="s">
        <v>65</v>
      </c>
      <c r="AH38" s="22" t="s">
        <v>65</v>
      </c>
    </row>
    <row r="40" spans="3:34" ht="95.5">
      <c r="C40" s="14" t="s">
        <v>328</v>
      </c>
      <c r="D40" s="19" t="s">
        <v>277</v>
      </c>
      <c r="E40" s="20" t="s">
        <v>279</v>
      </c>
      <c r="F40" s="20" t="s">
        <v>281</v>
      </c>
      <c r="G40" s="20" t="s">
        <v>283</v>
      </c>
      <c r="H40" s="20" t="s">
        <v>285</v>
      </c>
      <c r="I40" s="20" t="s">
        <v>287</v>
      </c>
      <c r="J40" s="20" t="s">
        <v>289</v>
      </c>
      <c r="K40" s="20" t="s">
        <v>290</v>
      </c>
      <c r="L40" s="20" t="s">
        <v>291</v>
      </c>
      <c r="M40" s="20" t="s">
        <v>292</v>
      </c>
      <c r="N40" s="20" t="s">
        <v>294</v>
      </c>
      <c r="O40" s="20" t="s">
        <v>296</v>
      </c>
      <c r="P40" s="20" t="s">
        <v>298</v>
      </c>
      <c r="Q40" s="20" t="s">
        <v>300</v>
      </c>
      <c r="R40" s="20" t="s">
        <v>302</v>
      </c>
      <c r="S40" s="20" t="s">
        <v>304</v>
      </c>
      <c r="T40" s="20" t="s">
        <v>306</v>
      </c>
      <c r="U40" s="20" t="s">
        <v>308</v>
      </c>
      <c r="V40" s="20" t="s">
        <v>310</v>
      </c>
      <c r="W40" s="21" t="s">
        <v>312</v>
      </c>
      <c r="X40" s="21" t="s">
        <v>314</v>
      </c>
      <c r="Y40" s="20" t="s">
        <v>60</v>
      </c>
      <c r="Z40" s="20" t="s">
        <v>62</v>
      </c>
      <c r="AA40" s="20" t="s">
        <v>64</v>
      </c>
      <c r="AB40" s="20" t="s">
        <v>66</v>
      </c>
      <c r="AC40" s="20" t="s">
        <v>68</v>
      </c>
      <c r="AD40" s="20" t="s">
        <v>70</v>
      </c>
      <c r="AE40" s="20" t="s">
        <v>71</v>
      </c>
      <c r="AF40" s="20" t="s">
        <v>73</v>
      </c>
      <c r="AG40" s="20" t="s">
        <v>74</v>
      </c>
      <c r="AH40" s="20" t="s">
        <v>76</v>
      </c>
    </row>
    <row r="41" spans="3:34">
      <c r="C41" s="15" t="s">
        <v>69</v>
      </c>
      <c r="D41" s="16"/>
      <c r="E41" s="15"/>
      <c r="F41" s="15"/>
      <c r="G41" s="15"/>
      <c r="H41" s="15"/>
      <c r="I41" s="15"/>
      <c r="J41" s="15"/>
      <c r="K41" s="15"/>
      <c r="L41" s="15"/>
      <c r="M41" s="15"/>
      <c r="N41" s="15"/>
      <c r="O41" s="15"/>
      <c r="P41" s="15"/>
      <c r="Q41" s="15"/>
      <c r="R41" s="15"/>
      <c r="S41" s="15"/>
      <c r="T41" s="15"/>
      <c r="U41" s="15"/>
      <c r="V41" s="15"/>
      <c r="W41" s="15"/>
      <c r="X41" s="15"/>
      <c r="Y41" s="15" t="s">
        <v>65</v>
      </c>
      <c r="Z41" s="15" t="s">
        <v>65</v>
      </c>
      <c r="AA41" s="15" t="s">
        <v>65</v>
      </c>
      <c r="AB41" s="15" t="s">
        <v>69</v>
      </c>
      <c r="AC41" s="15" t="s">
        <v>69</v>
      </c>
      <c r="AD41" s="15" t="s">
        <v>69</v>
      </c>
      <c r="AE41" s="15" t="s">
        <v>69</v>
      </c>
      <c r="AF41" s="15" t="s">
        <v>69</v>
      </c>
      <c r="AG41" s="15" t="s">
        <v>65</v>
      </c>
      <c r="AH41" s="15" t="s">
        <v>69</v>
      </c>
    </row>
    <row r="42" spans="3:34">
      <c r="C42" s="15" t="s">
        <v>87</v>
      </c>
      <c r="D42" s="16"/>
      <c r="E42" s="15"/>
      <c r="F42" s="15"/>
      <c r="G42" s="15"/>
      <c r="H42" s="15"/>
      <c r="I42" s="15"/>
      <c r="J42" s="15"/>
      <c r="K42" s="15"/>
      <c r="L42" s="15"/>
      <c r="M42" s="15"/>
      <c r="N42" s="15"/>
      <c r="O42" s="15"/>
      <c r="P42" s="15"/>
      <c r="Q42" s="15" t="s">
        <v>87</v>
      </c>
      <c r="R42" s="15"/>
      <c r="S42" s="15"/>
      <c r="T42" s="15"/>
      <c r="U42" s="15"/>
      <c r="V42" s="15"/>
      <c r="W42" s="15"/>
      <c r="X42" s="15"/>
      <c r="Y42" s="15" t="s">
        <v>65</v>
      </c>
      <c r="Z42" s="15" t="s">
        <v>65</v>
      </c>
      <c r="AA42" s="15" t="s">
        <v>65</v>
      </c>
      <c r="AB42" s="15" t="s">
        <v>65</v>
      </c>
      <c r="AC42" s="15" t="s">
        <v>65</v>
      </c>
      <c r="AD42" s="15" t="s">
        <v>65</v>
      </c>
      <c r="AE42" s="15" t="s">
        <v>65</v>
      </c>
      <c r="AF42" s="15" t="s">
        <v>65</v>
      </c>
      <c r="AG42" s="15" t="s">
        <v>65</v>
      </c>
      <c r="AH42" s="15" t="s">
        <v>65</v>
      </c>
    </row>
    <row r="43" spans="3:34">
      <c r="C43" s="15" t="s">
        <v>88</v>
      </c>
      <c r="D43" s="16"/>
      <c r="E43" s="15"/>
      <c r="F43" s="15"/>
      <c r="G43" s="15"/>
      <c r="H43" s="15"/>
      <c r="I43" s="15"/>
      <c r="J43" s="15"/>
      <c r="K43" s="15"/>
      <c r="L43" s="15"/>
      <c r="M43" s="15"/>
      <c r="N43" s="15"/>
      <c r="O43" s="15" t="s">
        <v>88</v>
      </c>
      <c r="P43" s="15"/>
      <c r="Q43" s="15"/>
      <c r="R43" s="15"/>
      <c r="S43" s="15"/>
      <c r="T43" s="15"/>
      <c r="U43" s="15"/>
      <c r="V43" s="15"/>
      <c r="W43" s="15"/>
      <c r="X43" s="15"/>
      <c r="Y43" s="15" t="s">
        <v>65</v>
      </c>
      <c r="Z43" s="15" t="s">
        <v>65</v>
      </c>
      <c r="AA43" s="15" t="s">
        <v>65</v>
      </c>
      <c r="AB43" s="15" t="s">
        <v>65</v>
      </c>
      <c r="AC43" s="15" t="s">
        <v>65</v>
      </c>
      <c r="AD43" s="15" t="s">
        <v>65</v>
      </c>
      <c r="AE43" s="15" t="s">
        <v>65</v>
      </c>
      <c r="AF43" s="15" t="s">
        <v>65</v>
      </c>
      <c r="AG43" s="15" t="s">
        <v>65</v>
      </c>
      <c r="AH43" s="15" t="s">
        <v>65</v>
      </c>
    </row>
    <row r="44" spans="3:34">
      <c r="C44" s="15" t="s">
        <v>89</v>
      </c>
      <c r="D44" s="16"/>
      <c r="E44" s="15"/>
      <c r="F44" s="15"/>
      <c r="G44" s="15"/>
      <c r="H44" s="15"/>
      <c r="I44" s="15"/>
      <c r="J44" s="15"/>
      <c r="K44" s="15"/>
      <c r="L44" s="15"/>
      <c r="M44" s="15"/>
      <c r="N44" s="15"/>
      <c r="O44" s="15"/>
      <c r="P44" s="15"/>
      <c r="Q44" s="15"/>
      <c r="R44" s="15" t="s">
        <v>89</v>
      </c>
      <c r="S44" s="15"/>
      <c r="T44" s="15"/>
      <c r="U44" s="15"/>
      <c r="V44" s="15"/>
      <c r="W44" s="15"/>
      <c r="X44" s="15"/>
      <c r="Y44" s="15" t="s">
        <v>65</v>
      </c>
      <c r="Z44" s="15" t="s">
        <v>65</v>
      </c>
      <c r="AA44" s="15" t="s">
        <v>65</v>
      </c>
      <c r="AB44" s="15" t="s">
        <v>65</v>
      </c>
      <c r="AC44" s="15" t="s">
        <v>65</v>
      </c>
      <c r="AD44" s="15" t="s">
        <v>65</v>
      </c>
      <c r="AE44" s="15" t="s">
        <v>65</v>
      </c>
      <c r="AF44" s="15" t="s">
        <v>65</v>
      </c>
      <c r="AG44" s="15" t="s">
        <v>65</v>
      </c>
      <c r="AH44" s="15" t="s">
        <v>65</v>
      </c>
    </row>
    <row r="45" spans="3:34">
      <c r="C45" s="15" t="s">
        <v>90</v>
      </c>
      <c r="D45" s="16"/>
      <c r="E45" s="15"/>
      <c r="F45" s="15"/>
      <c r="G45" s="15"/>
      <c r="H45" s="15"/>
      <c r="I45" s="15"/>
      <c r="J45" s="15"/>
      <c r="K45" s="15"/>
      <c r="L45" s="15"/>
      <c r="M45" s="15"/>
      <c r="N45" s="15"/>
      <c r="O45" s="15"/>
      <c r="P45" s="15" t="s">
        <v>90</v>
      </c>
      <c r="Q45" s="15"/>
      <c r="R45" s="15"/>
      <c r="S45" s="15"/>
      <c r="T45" s="15"/>
      <c r="U45" s="15"/>
      <c r="V45" s="15"/>
      <c r="W45" s="15"/>
      <c r="X45" s="15"/>
      <c r="Y45" s="15" t="s">
        <v>65</v>
      </c>
      <c r="Z45" s="15" t="s">
        <v>65</v>
      </c>
      <c r="AA45" s="15" t="s">
        <v>65</v>
      </c>
      <c r="AB45" s="15" t="s">
        <v>65</v>
      </c>
      <c r="AC45" s="15" t="s">
        <v>65</v>
      </c>
      <c r="AD45" s="15" t="s">
        <v>65</v>
      </c>
      <c r="AE45" s="15" t="s">
        <v>65</v>
      </c>
      <c r="AF45" s="15" t="s">
        <v>65</v>
      </c>
      <c r="AG45" s="15" t="s">
        <v>65</v>
      </c>
      <c r="AH45" s="15" t="s">
        <v>65</v>
      </c>
    </row>
    <row r="46" spans="3:34">
      <c r="C46" s="15" t="s">
        <v>91</v>
      </c>
      <c r="D46" s="16"/>
      <c r="E46" s="15"/>
      <c r="F46" s="15"/>
      <c r="G46" s="15"/>
      <c r="H46" s="15"/>
      <c r="I46" s="15"/>
      <c r="J46" s="15"/>
      <c r="K46" s="15"/>
      <c r="L46" s="15"/>
      <c r="M46" s="15"/>
      <c r="N46" s="15"/>
      <c r="O46" s="15"/>
      <c r="P46" s="15"/>
      <c r="Q46" s="15"/>
      <c r="R46" s="15"/>
      <c r="S46" s="15"/>
      <c r="T46" s="15"/>
      <c r="U46" s="15"/>
      <c r="V46" s="15"/>
      <c r="W46" s="15"/>
      <c r="X46" s="15"/>
      <c r="Y46" s="15" t="s">
        <v>65</v>
      </c>
      <c r="Z46" s="15" t="s">
        <v>65</v>
      </c>
      <c r="AA46" s="15" t="s">
        <v>65</v>
      </c>
      <c r="AB46" s="15" t="s">
        <v>91</v>
      </c>
      <c r="AC46" s="15" t="s">
        <v>91</v>
      </c>
      <c r="AD46" s="15" t="s">
        <v>91</v>
      </c>
      <c r="AE46" s="15" t="s">
        <v>91</v>
      </c>
      <c r="AF46" s="15" t="s">
        <v>91</v>
      </c>
      <c r="AG46" s="15" t="s">
        <v>65</v>
      </c>
      <c r="AH46" s="15" t="s">
        <v>91</v>
      </c>
    </row>
    <row r="47" spans="3:34">
      <c r="C47" s="15" t="s">
        <v>92</v>
      </c>
      <c r="D47" s="16"/>
      <c r="E47" s="15"/>
      <c r="F47" s="15"/>
      <c r="G47" s="15"/>
      <c r="H47" s="15"/>
      <c r="I47" s="15"/>
      <c r="J47" s="15"/>
      <c r="K47" s="15"/>
      <c r="L47" s="15"/>
      <c r="M47" s="15"/>
      <c r="N47" s="15"/>
      <c r="O47" s="15"/>
      <c r="P47" s="15"/>
      <c r="Q47" s="15"/>
      <c r="R47" s="15"/>
      <c r="S47" s="15" t="s">
        <v>92</v>
      </c>
      <c r="T47" s="15"/>
      <c r="U47" s="15"/>
      <c r="V47" s="15"/>
      <c r="W47" s="15"/>
      <c r="X47" s="15"/>
      <c r="Y47" s="15" t="s">
        <v>65</v>
      </c>
      <c r="Z47" s="15" t="s">
        <v>65</v>
      </c>
      <c r="AA47" s="15" t="s">
        <v>65</v>
      </c>
      <c r="AB47" s="15" t="s">
        <v>65</v>
      </c>
      <c r="AC47" s="15" t="s">
        <v>65</v>
      </c>
      <c r="AD47" s="15" t="s">
        <v>65</v>
      </c>
      <c r="AE47" s="15" t="s">
        <v>65</v>
      </c>
      <c r="AF47" s="15" t="s">
        <v>65</v>
      </c>
      <c r="AG47" s="15" t="s">
        <v>65</v>
      </c>
      <c r="AH47" s="15" t="s">
        <v>65</v>
      </c>
    </row>
    <row r="48" spans="3:34">
      <c r="C48" s="15" t="s">
        <v>93</v>
      </c>
      <c r="D48" s="16"/>
      <c r="E48" s="15"/>
      <c r="F48" s="15"/>
      <c r="G48" s="15"/>
      <c r="H48" s="15"/>
      <c r="I48" s="15"/>
      <c r="J48" s="15"/>
      <c r="K48" s="15"/>
      <c r="L48" s="15"/>
      <c r="M48" s="15"/>
      <c r="N48" s="15"/>
      <c r="O48" s="15"/>
      <c r="P48" s="15"/>
      <c r="Q48" s="15"/>
      <c r="R48" s="15"/>
      <c r="S48" s="15"/>
      <c r="T48" s="15"/>
      <c r="U48" s="15"/>
      <c r="V48" s="15"/>
      <c r="W48" s="15"/>
      <c r="X48" s="15"/>
      <c r="Y48" s="15" t="s">
        <v>65</v>
      </c>
      <c r="Z48" s="15" t="s">
        <v>65</v>
      </c>
      <c r="AA48" s="15" t="s">
        <v>65</v>
      </c>
      <c r="AB48" s="15" t="s">
        <v>65</v>
      </c>
      <c r="AC48" s="15" t="s">
        <v>65</v>
      </c>
      <c r="AD48" s="15" t="s">
        <v>93</v>
      </c>
      <c r="AE48" s="15" t="s">
        <v>93</v>
      </c>
      <c r="AF48" s="15" t="s">
        <v>93</v>
      </c>
      <c r="AG48" s="15" t="s">
        <v>65</v>
      </c>
      <c r="AH48" s="15" t="s">
        <v>93</v>
      </c>
    </row>
    <row r="49" spans="3:34">
      <c r="C49" s="15" t="s">
        <v>94</v>
      </c>
      <c r="D49" s="16"/>
      <c r="E49" s="15"/>
      <c r="F49" s="15"/>
      <c r="G49" s="15"/>
      <c r="H49" s="15"/>
      <c r="I49" s="15"/>
      <c r="J49" s="15"/>
      <c r="K49" s="15"/>
      <c r="L49" s="15"/>
      <c r="M49" s="15"/>
      <c r="N49" s="15"/>
      <c r="O49" s="15"/>
      <c r="P49" s="15"/>
      <c r="Q49" s="15"/>
      <c r="R49" s="15"/>
      <c r="S49" s="15"/>
      <c r="T49" s="15"/>
      <c r="U49" s="15"/>
      <c r="V49" s="15"/>
      <c r="W49" s="15" t="s">
        <v>94</v>
      </c>
      <c r="X49" s="15"/>
      <c r="Y49" s="15" t="s">
        <v>65</v>
      </c>
      <c r="Z49" s="15" t="s">
        <v>65</v>
      </c>
      <c r="AA49" s="15" t="s">
        <v>65</v>
      </c>
      <c r="AB49" s="15" t="s">
        <v>65</v>
      </c>
      <c r="AC49" s="15" t="s">
        <v>65</v>
      </c>
      <c r="AD49" s="15" t="s">
        <v>65</v>
      </c>
      <c r="AE49" s="15" t="s">
        <v>65</v>
      </c>
      <c r="AF49" s="15" t="s">
        <v>65</v>
      </c>
      <c r="AG49" s="15" t="s">
        <v>65</v>
      </c>
      <c r="AH49" s="15" t="s">
        <v>65</v>
      </c>
    </row>
    <row r="50" spans="3:34">
      <c r="C50" s="15" t="s">
        <v>95</v>
      </c>
      <c r="D50" s="16"/>
      <c r="E50" s="15"/>
      <c r="F50" s="15"/>
      <c r="G50" s="15"/>
      <c r="H50" s="15"/>
      <c r="I50" s="15"/>
      <c r="J50" s="15"/>
      <c r="K50" s="15"/>
      <c r="L50" s="15"/>
      <c r="M50" s="15"/>
      <c r="N50" s="15"/>
      <c r="O50" s="15"/>
      <c r="P50" s="15"/>
      <c r="Q50" s="15"/>
      <c r="R50" s="15"/>
      <c r="S50" s="15"/>
      <c r="T50" s="15"/>
      <c r="U50" s="15"/>
      <c r="V50" s="15"/>
      <c r="W50" s="15"/>
      <c r="X50" s="15"/>
      <c r="Y50" s="15" t="s">
        <v>65</v>
      </c>
      <c r="Z50" s="15" t="s">
        <v>65</v>
      </c>
      <c r="AA50" s="15" t="s">
        <v>65</v>
      </c>
      <c r="AB50" s="15" t="s">
        <v>65</v>
      </c>
      <c r="AC50" s="15" t="s">
        <v>65</v>
      </c>
      <c r="AD50" s="15" t="s">
        <v>95</v>
      </c>
      <c r="AE50" s="15" t="s">
        <v>95</v>
      </c>
      <c r="AF50" s="15" t="s">
        <v>95</v>
      </c>
      <c r="AG50" s="15" t="s">
        <v>65</v>
      </c>
      <c r="AH50" s="15" t="s">
        <v>95</v>
      </c>
    </row>
    <row r="51" spans="3:34">
      <c r="C51" s="15" t="s">
        <v>72</v>
      </c>
      <c r="D51" s="16"/>
      <c r="E51" s="15"/>
      <c r="F51" s="15"/>
      <c r="G51" s="15"/>
      <c r="H51" s="15"/>
      <c r="I51" s="15"/>
      <c r="J51" s="15"/>
      <c r="K51" s="15"/>
      <c r="L51" s="15"/>
      <c r="M51" s="15"/>
      <c r="N51" s="15"/>
      <c r="O51" s="15"/>
      <c r="P51" s="15"/>
      <c r="Q51" s="15"/>
      <c r="R51" s="15"/>
      <c r="S51" s="15"/>
      <c r="T51" s="15"/>
      <c r="U51" s="15"/>
      <c r="V51" s="15" t="s">
        <v>72</v>
      </c>
      <c r="W51" s="15"/>
      <c r="X51" s="15"/>
      <c r="Y51" s="15" t="s">
        <v>65</v>
      </c>
      <c r="Z51" s="15" t="s">
        <v>65</v>
      </c>
      <c r="AA51" s="15" t="s">
        <v>65</v>
      </c>
      <c r="AB51" s="15" t="s">
        <v>65</v>
      </c>
      <c r="AC51" s="15" t="s">
        <v>65</v>
      </c>
      <c r="AD51" s="15" t="s">
        <v>65</v>
      </c>
      <c r="AE51" s="15" t="s">
        <v>65</v>
      </c>
      <c r="AF51" s="15" t="s">
        <v>65</v>
      </c>
      <c r="AG51" s="15" t="s">
        <v>65</v>
      </c>
      <c r="AH51" s="15" t="s">
        <v>65</v>
      </c>
    </row>
    <row r="52" spans="3:34">
      <c r="C52" s="15" t="s">
        <v>63</v>
      </c>
      <c r="D52" s="16"/>
      <c r="E52" s="15"/>
      <c r="F52" s="15"/>
      <c r="G52" s="15"/>
      <c r="H52" s="15"/>
      <c r="I52" s="15"/>
      <c r="J52" s="15"/>
      <c r="K52" s="15"/>
      <c r="L52" s="15"/>
      <c r="M52" s="15"/>
      <c r="N52" s="15"/>
      <c r="O52" s="15"/>
      <c r="P52" s="15"/>
      <c r="Q52" s="15"/>
      <c r="R52" s="15"/>
      <c r="S52" s="15"/>
      <c r="T52" s="15"/>
      <c r="U52" s="15"/>
      <c r="V52" s="15"/>
      <c r="W52" s="15"/>
      <c r="X52" s="15" t="s">
        <v>63</v>
      </c>
      <c r="Y52" s="15" t="s">
        <v>65</v>
      </c>
      <c r="Z52" s="15" t="s">
        <v>65</v>
      </c>
      <c r="AA52" s="15" t="s">
        <v>65</v>
      </c>
      <c r="AB52" s="15" t="s">
        <v>65</v>
      </c>
      <c r="AC52" s="15" t="s">
        <v>65</v>
      </c>
      <c r="AD52" s="15" t="s">
        <v>65</v>
      </c>
      <c r="AE52" s="15" t="s">
        <v>65</v>
      </c>
      <c r="AF52" s="15" t="s">
        <v>65</v>
      </c>
      <c r="AG52" s="15" t="s">
        <v>65</v>
      </c>
      <c r="AH52" s="15" t="s">
        <v>65</v>
      </c>
    </row>
    <row r="53" spans="3:34">
      <c r="C53" s="15" t="s">
        <v>77</v>
      </c>
      <c r="D53" s="16"/>
      <c r="E53" s="15"/>
      <c r="F53" s="15"/>
      <c r="G53" s="15"/>
      <c r="H53" s="15"/>
      <c r="I53" s="15"/>
      <c r="J53" s="15"/>
      <c r="K53" s="15"/>
      <c r="L53" s="15"/>
      <c r="M53" s="15"/>
      <c r="N53" s="15"/>
      <c r="O53" s="15"/>
      <c r="P53" s="15"/>
      <c r="Q53" s="15"/>
      <c r="R53" s="15"/>
      <c r="S53" s="15"/>
      <c r="T53" s="15"/>
      <c r="U53" s="15"/>
      <c r="V53" s="15"/>
      <c r="W53" s="15"/>
      <c r="X53" s="15"/>
      <c r="Y53" s="15" t="s">
        <v>65</v>
      </c>
      <c r="Z53" s="15" t="s">
        <v>65</v>
      </c>
      <c r="AA53" s="15" t="s">
        <v>65</v>
      </c>
      <c r="AB53" s="15" t="s">
        <v>77</v>
      </c>
      <c r="AC53" s="15" t="s">
        <v>77</v>
      </c>
      <c r="AD53" s="15" t="s">
        <v>77</v>
      </c>
      <c r="AE53" s="15" t="s">
        <v>77</v>
      </c>
      <c r="AF53" s="15" t="s">
        <v>77</v>
      </c>
      <c r="AG53" s="15" t="s">
        <v>65</v>
      </c>
      <c r="AH53" s="15" t="s">
        <v>77</v>
      </c>
    </row>
    <row r="54" spans="3:34">
      <c r="C54" s="15" t="s">
        <v>75</v>
      </c>
      <c r="D54" s="16"/>
      <c r="E54" s="15"/>
      <c r="F54" s="15"/>
      <c r="G54" s="15"/>
      <c r="H54" s="15"/>
      <c r="I54" s="15"/>
      <c r="J54" s="15"/>
      <c r="K54" s="15"/>
      <c r="L54" s="15"/>
      <c r="M54" s="15"/>
      <c r="N54" s="15"/>
      <c r="O54" s="15"/>
      <c r="P54" s="15"/>
      <c r="Q54" s="15"/>
      <c r="R54" s="15"/>
      <c r="S54" s="15"/>
      <c r="T54" s="15" t="s">
        <v>75</v>
      </c>
      <c r="U54" s="15"/>
      <c r="V54" s="15"/>
      <c r="W54" s="15"/>
      <c r="X54" s="15"/>
      <c r="Y54" s="15" t="s">
        <v>65</v>
      </c>
      <c r="Z54" s="15" t="s">
        <v>65</v>
      </c>
      <c r="AA54" s="15" t="s">
        <v>65</v>
      </c>
      <c r="AB54" s="15" t="s">
        <v>65</v>
      </c>
      <c r="AC54" s="15" t="s">
        <v>65</v>
      </c>
      <c r="AD54" s="15" t="s">
        <v>65</v>
      </c>
      <c r="AE54" s="15" t="s">
        <v>65</v>
      </c>
      <c r="AF54" s="15" t="s">
        <v>65</v>
      </c>
      <c r="AG54" s="15" t="s">
        <v>65</v>
      </c>
      <c r="AH54" s="15" t="s">
        <v>65</v>
      </c>
    </row>
    <row r="55" spans="3:34">
      <c r="C55" s="15" t="s">
        <v>61</v>
      </c>
      <c r="D55" s="16"/>
      <c r="E55" s="15"/>
      <c r="F55" s="15"/>
      <c r="G55" s="15"/>
      <c r="H55" s="15"/>
      <c r="I55" s="15"/>
      <c r="J55" s="15"/>
      <c r="K55" s="15"/>
      <c r="L55" s="15"/>
      <c r="M55" s="15"/>
      <c r="N55" s="15" t="s">
        <v>61</v>
      </c>
      <c r="O55" s="15"/>
      <c r="P55" s="15"/>
      <c r="Q55" s="15"/>
      <c r="R55" s="15"/>
      <c r="S55" s="15"/>
      <c r="T55" s="15"/>
      <c r="U55" s="15"/>
      <c r="V55" s="15"/>
      <c r="W55" s="15"/>
      <c r="X55" s="15"/>
      <c r="Y55" s="15" t="s">
        <v>65</v>
      </c>
      <c r="Z55" s="15" t="s">
        <v>65</v>
      </c>
      <c r="AA55" s="15" t="s">
        <v>65</v>
      </c>
      <c r="AB55" s="15" t="s">
        <v>65</v>
      </c>
      <c r="AC55" s="15" t="s">
        <v>65</v>
      </c>
      <c r="AD55" s="15" t="s">
        <v>65</v>
      </c>
      <c r="AE55" s="15" t="s">
        <v>65</v>
      </c>
      <c r="AF55" s="15" t="s">
        <v>65</v>
      </c>
      <c r="AG55" s="15" t="s">
        <v>65</v>
      </c>
      <c r="AH55" s="15" t="s">
        <v>65</v>
      </c>
    </row>
    <row r="56" spans="3:34">
      <c r="C56" s="15" t="s">
        <v>96</v>
      </c>
      <c r="D56" s="16"/>
      <c r="E56" s="15"/>
      <c r="F56" s="15"/>
      <c r="G56" s="15"/>
      <c r="H56" s="15"/>
      <c r="I56" s="15"/>
      <c r="J56" s="15"/>
      <c r="K56" s="15"/>
      <c r="L56" s="15"/>
      <c r="M56" s="15"/>
      <c r="N56" s="15"/>
      <c r="O56" s="15"/>
      <c r="P56" s="15"/>
      <c r="Q56" s="15"/>
      <c r="R56" s="15"/>
      <c r="S56" s="15"/>
      <c r="T56" s="15"/>
      <c r="U56" s="15" t="s">
        <v>96</v>
      </c>
      <c r="V56" s="15"/>
      <c r="W56" s="15"/>
      <c r="X56" s="15"/>
      <c r="Y56" s="15" t="s">
        <v>65</v>
      </c>
      <c r="Z56" s="15" t="s">
        <v>65</v>
      </c>
      <c r="AA56" s="15" t="s">
        <v>65</v>
      </c>
      <c r="AB56" s="15" t="s">
        <v>65</v>
      </c>
      <c r="AC56" s="15" t="s">
        <v>65</v>
      </c>
      <c r="AD56" s="15" t="s">
        <v>65</v>
      </c>
      <c r="AE56" s="15" t="s">
        <v>65</v>
      </c>
      <c r="AF56" s="15" t="s">
        <v>65</v>
      </c>
      <c r="AG56" s="15" t="s">
        <v>65</v>
      </c>
      <c r="AH56" s="15" t="s">
        <v>65</v>
      </c>
    </row>
    <row r="57" spans="3:34">
      <c r="C57" s="15" t="s">
        <v>67</v>
      </c>
      <c r="D57" s="18"/>
      <c r="E57" s="22"/>
      <c r="F57" s="22"/>
      <c r="G57" s="22"/>
      <c r="H57" s="22"/>
      <c r="I57" s="22"/>
      <c r="J57" s="22"/>
      <c r="K57" s="22"/>
      <c r="L57" s="22"/>
      <c r="M57" s="22"/>
      <c r="N57" s="22"/>
      <c r="O57" s="22"/>
      <c r="P57" s="22"/>
      <c r="Q57" s="22"/>
      <c r="R57" s="22"/>
      <c r="S57" s="22"/>
      <c r="T57" s="22"/>
      <c r="U57" s="22"/>
      <c r="V57" s="22"/>
      <c r="W57" s="22"/>
      <c r="X57" s="22"/>
      <c r="Y57" s="15" t="s">
        <v>65</v>
      </c>
      <c r="Z57" s="15" t="s">
        <v>65</v>
      </c>
      <c r="AA57" s="15" t="s">
        <v>65</v>
      </c>
      <c r="AB57" s="15" t="s">
        <v>67</v>
      </c>
      <c r="AC57" s="15" t="s">
        <v>67</v>
      </c>
      <c r="AD57" s="15" t="s">
        <v>67</v>
      </c>
      <c r="AE57" s="15" t="s">
        <v>67</v>
      </c>
      <c r="AF57" s="15" t="s">
        <v>67</v>
      </c>
      <c r="AG57" s="22" t="s">
        <v>65</v>
      </c>
      <c r="AH57" s="15" t="s">
        <v>67</v>
      </c>
    </row>
    <row r="58" spans="3:34">
      <c r="C58" s="15" t="s">
        <v>65</v>
      </c>
      <c r="D58" s="18"/>
      <c r="E58" s="22"/>
      <c r="F58" s="22"/>
      <c r="G58" s="22"/>
      <c r="H58" s="22"/>
      <c r="I58" s="22"/>
      <c r="J58" s="22"/>
      <c r="K58" s="22"/>
      <c r="L58" s="22"/>
      <c r="M58" s="22"/>
      <c r="N58" s="22"/>
      <c r="O58" s="22"/>
      <c r="P58" s="22"/>
      <c r="Q58" s="22"/>
      <c r="R58" s="22"/>
      <c r="S58" s="22"/>
      <c r="T58" s="22"/>
      <c r="U58" s="22"/>
      <c r="V58" s="22"/>
      <c r="W58" s="22"/>
      <c r="X58" s="22"/>
      <c r="Y58" s="15" t="s">
        <v>65</v>
      </c>
      <c r="Z58" s="15" t="s">
        <v>65</v>
      </c>
      <c r="AA58" s="15" t="s">
        <v>65</v>
      </c>
      <c r="AB58" s="22" t="s">
        <v>65</v>
      </c>
      <c r="AC58" s="22" t="s">
        <v>65</v>
      </c>
      <c r="AD58" s="22" t="s">
        <v>65</v>
      </c>
      <c r="AE58" s="22" t="s">
        <v>65</v>
      </c>
      <c r="AF58" s="22" t="s">
        <v>65</v>
      </c>
      <c r="AG58" s="22" t="s">
        <v>65</v>
      </c>
      <c r="AH58" s="22" t="s">
        <v>65</v>
      </c>
    </row>
    <row r="60" spans="3:34" ht="95.5">
      <c r="C60" s="14" t="s">
        <v>329</v>
      </c>
      <c r="D60" s="19" t="s">
        <v>277</v>
      </c>
      <c r="E60" s="20" t="s">
        <v>279</v>
      </c>
      <c r="F60" s="20" t="s">
        <v>281</v>
      </c>
      <c r="G60" s="20" t="s">
        <v>283</v>
      </c>
      <c r="H60" s="20" t="s">
        <v>285</v>
      </c>
      <c r="I60" s="20" t="s">
        <v>287</v>
      </c>
      <c r="J60" s="20" t="s">
        <v>289</v>
      </c>
      <c r="K60" s="20" t="s">
        <v>290</v>
      </c>
      <c r="L60" s="20" t="s">
        <v>291</v>
      </c>
      <c r="M60" s="20" t="s">
        <v>292</v>
      </c>
      <c r="N60" s="20" t="s">
        <v>294</v>
      </c>
      <c r="O60" s="20" t="s">
        <v>296</v>
      </c>
      <c r="P60" s="20" t="s">
        <v>298</v>
      </c>
      <c r="Q60" s="20" t="s">
        <v>300</v>
      </c>
      <c r="R60" s="20" t="s">
        <v>302</v>
      </c>
      <c r="S60" s="20" t="s">
        <v>304</v>
      </c>
      <c r="T60" s="20" t="s">
        <v>306</v>
      </c>
      <c r="U60" s="20" t="s">
        <v>308</v>
      </c>
      <c r="V60" s="20" t="s">
        <v>310</v>
      </c>
      <c r="W60" s="21" t="s">
        <v>312</v>
      </c>
      <c r="X60" s="21" t="s">
        <v>314</v>
      </c>
      <c r="Y60" s="20" t="s">
        <v>60</v>
      </c>
      <c r="Z60" s="20" t="s">
        <v>62</v>
      </c>
      <c r="AA60" s="20" t="s">
        <v>64</v>
      </c>
      <c r="AB60" s="20" t="s">
        <v>66</v>
      </c>
      <c r="AC60" s="20" t="s">
        <v>68</v>
      </c>
      <c r="AD60" s="20" t="s">
        <v>70</v>
      </c>
      <c r="AE60" s="20" t="s">
        <v>71</v>
      </c>
      <c r="AF60" s="20" t="s">
        <v>73</v>
      </c>
      <c r="AG60" s="20" t="s">
        <v>74</v>
      </c>
      <c r="AH60" s="20" t="s">
        <v>76</v>
      </c>
    </row>
    <row r="61" spans="3:34">
      <c r="C61" s="15" t="s">
        <v>69</v>
      </c>
      <c r="D61" s="16"/>
      <c r="E61" s="15"/>
      <c r="F61" s="15"/>
      <c r="G61" s="15"/>
      <c r="H61" s="15"/>
      <c r="I61" s="15"/>
      <c r="J61" s="15"/>
      <c r="K61" s="15"/>
      <c r="L61" s="15"/>
      <c r="M61" s="15"/>
      <c r="N61" s="15"/>
      <c r="O61" s="15"/>
      <c r="P61" s="15"/>
      <c r="Q61" s="15"/>
      <c r="R61" s="15"/>
      <c r="S61" s="15"/>
      <c r="T61" s="15"/>
      <c r="U61" s="15"/>
      <c r="V61" s="15"/>
      <c r="W61" s="15"/>
      <c r="X61" s="15"/>
      <c r="Y61" s="15" t="s">
        <v>65</v>
      </c>
      <c r="Z61" s="15" t="s">
        <v>65</v>
      </c>
      <c r="AA61" s="15" t="s">
        <v>65</v>
      </c>
      <c r="AB61" s="15" t="s">
        <v>69</v>
      </c>
      <c r="AC61" s="15" t="s">
        <v>69</v>
      </c>
      <c r="AD61" s="15" t="s">
        <v>65</v>
      </c>
      <c r="AE61" s="15" t="s">
        <v>69</v>
      </c>
      <c r="AF61" s="15" t="s">
        <v>69</v>
      </c>
      <c r="AG61" s="15" t="s">
        <v>65</v>
      </c>
      <c r="AH61" s="15" t="s">
        <v>69</v>
      </c>
    </row>
    <row r="62" spans="3:34">
      <c r="C62" s="15" t="s">
        <v>87</v>
      </c>
      <c r="D62" s="16"/>
      <c r="E62" s="15"/>
      <c r="F62" s="15"/>
      <c r="G62" s="15"/>
      <c r="H62" s="15"/>
      <c r="I62" s="15"/>
      <c r="J62" s="15"/>
      <c r="K62" s="15"/>
      <c r="L62" s="15"/>
      <c r="M62" s="15"/>
      <c r="N62" s="15"/>
      <c r="O62" s="15"/>
      <c r="P62" s="15"/>
      <c r="Q62" s="15"/>
      <c r="R62" s="15"/>
      <c r="S62" s="15"/>
      <c r="T62" s="15"/>
      <c r="U62" s="15"/>
      <c r="V62" s="15"/>
      <c r="W62" s="15"/>
      <c r="X62" s="15"/>
      <c r="Y62" s="15" t="s">
        <v>65</v>
      </c>
      <c r="Z62" s="15" t="s">
        <v>65</v>
      </c>
      <c r="AA62" s="15" t="s">
        <v>65</v>
      </c>
      <c r="AB62" s="15" t="s">
        <v>87</v>
      </c>
      <c r="AC62" s="15" t="s">
        <v>87</v>
      </c>
      <c r="AD62" s="15" t="s">
        <v>65</v>
      </c>
      <c r="AE62" s="15" t="s">
        <v>87</v>
      </c>
      <c r="AF62" s="15" t="s">
        <v>87</v>
      </c>
      <c r="AG62" s="15" t="s">
        <v>65</v>
      </c>
      <c r="AH62" s="15" t="s">
        <v>87</v>
      </c>
    </row>
    <row r="63" spans="3:34">
      <c r="C63" s="15" t="s">
        <v>88</v>
      </c>
      <c r="D63" s="16"/>
      <c r="E63" s="15"/>
      <c r="F63" s="15"/>
      <c r="G63" s="15"/>
      <c r="H63" s="15"/>
      <c r="I63" s="15"/>
      <c r="J63" s="15"/>
      <c r="K63" s="15"/>
      <c r="L63" s="15"/>
      <c r="M63" s="15"/>
      <c r="N63" s="15"/>
      <c r="O63" s="15"/>
      <c r="P63" s="15"/>
      <c r="Q63" s="15"/>
      <c r="R63" s="15"/>
      <c r="S63" s="15"/>
      <c r="T63" s="15"/>
      <c r="U63" s="15"/>
      <c r="V63" s="15"/>
      <c r="W63" s="15"/>
      <c r="X63" s="15"/>
      <c r="Y63" s="15" t="s">
        <v>65</v>
      </c>
      <c r="Z63" s="15" t="s">
        <v>65</v>
      </c>
      <c r="AA63" s="15" t="s">
        <v>65</v>
      </c>
      <c r="AB63" s="15" t="s">
        <v>88</v>
      </c>
      <c r="AC63" s="15" t="s">
        <v>88</v>
      </c>
      <c r="AD63" s="15" t="s">
        <v>65</v>
      </c>
      <c r="AE63" s="15" t="s">
        <v>88</v>
      </c>
      <c r="AF63" s="15" t="s">
        <v>88</v>
      </c>
      <c r="AG63" s="15" t="s">
        <v>65</v>
      </c>
      <c r="AH63" s="15" t="s">
        <v>88</v>
      </c>
    </row>
    <row r="64" spans="3:34">
      <c r="C64" s="15" t="s">
        <v>89</v>
      </c>
      <c r="D64" s="16"/>
      <c r="E64" s="15"/>
      <c r="F64" s="15"/>
      <c r="G64" s="15"/>
      <c r="H64" s="15"/>
      <c r="I64" s="15"/>
      <c r="J64" s="15"/>
      <c r="K64" s="15"/>
      <c r="L64" s="15"/>
      <c r="M64" s="15"/>
      <c r="N64" s="15"/>
      <c r="O64" s="15"/>
      <c r="P64" s="15"/>
      <c r="Q64" s="15"/>
      <c r="R64" s="15"/>
      <c r="S64" s="15"/>
      <c r="T64" s="15"/>
      <c r="U64" s="15"/>
      <c r="V64" s="15"/>
      <c r="W64" s="15"/>
      <c r="X64" s="15"/>
      <c r="Y64" s="15" t="s">
        <v>65</v>
      </c>
      <c r="Z64" s="15" t="s">
        <v>65</v>
      </c>
      <c r="AA64" s="15" t="s">
        <v>65</v>
      </c>
      <c r="AB64" s="15" t="s">
        <v>89</v>
      </c>
      <c r="AC64" s="15" t="s">
        <v>89</v>
      </c>
      <c r="AD64" s="15" t="s">
        <v>65</v>
      </c>
      <c r="AE64" s="15" t="s">
        <v>89</v>
      </c>
      <c r="AF64" s="15" t="s">
        <v>89</v>
      </c>
      <c r="AG64" s="15" t="s">
        <v>65</v>
      </c>
      <c r="AH64" s="15" t="s">
        <v>89</v>
      </c>
    </row>
    <row r="65" spans="3:34">
      <c r="C65" s="15" t="s">
        <v>90</v>
      </c>
      <c r="D65" s="16"/>
      <c r="E65" s="15"/>
      <c r="F65" s="15"/>
      <c r="G65" s="15"/>
      <c r="H65" s="15"/>
      <c r="I65" s="15"/>
      <c r="J65" s="15"/>
      <c r="K65" s="15"/>
      <c r="L65" s="15"/>
      <c r="M65" s="15"/>
      <c r="N65" s="15"/>
      <c r="O65" s="15"/>
      <c r="P65" s="15"/>
      <c r="Q65" s="15"/>
      <c r="R65" s="15"/>
      <c r="S65" s="15"/>
      <c r="T65" s="15"/>
      <c r="U65" s="15"/>
      <c r="V65" s="15"/>
      <c r="W65" s="15"/>
      <c r="X65" s="15"/>
      <c r="Y65" s="15" t="s">
        <v>65</v>
      </c>
      <c r="Z65" s="15" t="s">
        <v>65</v>
      </c>
      <c r="AA65" s="15" t="s">
        <v>65</v>
      </c>
      <c r="AB65" s="15" t="s">
        <v>90</v>
      </c>
      <c r="AC65" s="15" t="s">
        <v>90</v>
      </c>
      <c r="AD65" s="15" t="s">
        <v>65</v>
      </c>
      <c r="AE65" s="15" t="s">
        <v>90</v>
      </c>
      <c r="AF65" s="15" t="s">
        <v>90</v>
      </c>
      <c r="AG65" s="15" t="s">
        <v>65</v>
      </c>
      <c r="AH65" s="15" t="s">
        <v>90</v>
      </c>
    </row>
    <row r="66" spans="3:34">
      <c r="C66" s="15" t="s">
        <v>91</v>
      </c>
      <c r="D66" s="16"/>
      <c r="E66" s="15"/>
      <c r="F66" s="15"/>
      <c r="G66" s="15"/>
      <c r="H66" s="15"/>
      <c r="I66" s="15"/>
      <c r="J66" s="15"/>
      <c r="K66" s="15"/>
      <c r="L66" s="15"/>
      <c r="M66" s="15"/>
      <c r="N66" s="15"/>
      <c r="O66" s="15"/>
      <c r="P66" s="15"/>
      <c r="Q66" s="15"/>
      <c r="R66" s="15"/>
      <c r="S66" s="15"/>
      <c r="T66" s="15"/>
      <c r="U66" s="15"/>
      <c r="V66" s="15"/>
      <c r="W66" s="15"/>
      <c r="X66" s="15"/>
      <c r="Y66" s="15" t="s">
        <v>65</v>
      </c>
      <c r="Z66" s="15" t="s">
        <v>65</v>
      </c>
      <c r="AA66" s="15" t="s">
        <v>65</v>
      </c>
      <c r="AB66" s="15" t="s">
        <v>65</v>
      </c>
      <c r="AC66" s="15" t="s">
        <v>65</v>
      </c>
      <c r="AD66" s="15" t="s">
        <v>65</v>
      </c>
      <c r="AE66" s="15" t="s">
        <v>91</v>
      </c>
      <c r="AF66" s="15" t="s">
        <v>91</v>
      </c>
      <c r="AG66" s="15" t="s">
        <v>65</v>
      </c>
      <c r="AH66" s="15" t="s">
        <v>91</v>
      </c>
    </row>
    <row r="67" spans="3:34">
      <c r="C67" s="15" t="s">
        <v>92</v>
      </c>
      <c r="D67" s="16"/>
      <c r="E67" s="15"/>
      <c r="F67" s="15"/>
      <c r="G67" s="15"/>
      <c r="H67" s="15"/>
      <c r="I67" s="15"/>
      <c r="J67" s="15"/>
      <c r="K67" s="15"/>
      <c r="L67" s="15"/>
      <c r="M67" s="15"/>
      <c r="N67" s="15"/>
      <c r="O67" s="15"/>
      <c r="P67" s="15"/>
      <c r="Q67" s="15"/>
      <c r="R67" s="15"/>
      <c r="S67" s="15"/>
      <c r="T67" s="15"/>
      <c r="U67" s="15"/>
      <c r="V67" s="15"/>
      <c r="W67" s="15"/>
      <c r="X67" s="15"/>
      <c r="Y67" s="15" t="s">
        <v>65</v>
      </c>
      <c r="Z67" s="15" t="s">
        <v>65</v>
      </c>
      <c r="AA67" s="15" t="s">
        <v>65</v>
      </c>
      <c r="AB67" s="15" t="s">
        <v>92</v>
      </c>
      <c r="AC67" s="15" t="s">
        <v>92</v>
      </c>
      <c r="AD67" s="15" t="s">
        <v>65</v>
      </c>
      <c r="AE67" s="15" t="s">
        <v>92</v>
      </c>
      <c r="AF67" s="15" t="s">
        <v>92</v>
      </c>
      <c r="AG67" s="15" t="s">
        <v>65</v>
      </c>
      <c r="AH67" s="15" t="s">
        <v>92</v>
      </c>
    </row>
    <row r="68" spans="3:34">
      <c r="C68" s="15" t="s">
        <v>93</v>
      </c>
      <c r="D68" s="16"/>
      <c r="E68" s="15"/>
      <c r="F68" s="15"/>
      <c r="G68" s="15"/>
      <c r="H68" s="15"/>
      <c r="I68" s="15"/>
      <c r="J68" s="15"/>
      <c r="K68" s="15"/>
      <c r="L68" s="15"/>
      <c r="M68" s="15"/>
      <c r="N68" s="15"/>
      <c r="O68" s="15"/>
      <c r="P68" s="15"/>
      <c r="Q68" s="15"/>
      <c r="R68" s="15"/>
      <c r="S68" s="15"/>
      <c r="T68" s="15"/>
      <c r="U68" s="15"/>
      <c r="V68" s="15"/>
      <c r="W68" s="15"/>
      <c r="X68" s="15"/>
      <c r="Y68" s="15" t="s">
        <v>65</v>
      </c>
      <c r="Z68" s="15" t="s">
        <v>65</v>
      </c>
      <c r="AA68" s="15" t="s">
        <v>65</v>
      </c>
      <c r="AB68" s="15" t="s">
        <v>93</v>
      </c>
      <c r="AC68" s="15" t="s">
        <v>93</v>
      </c>
      <c r="AD68" s="15" t="s">
        <v>65</v>
      </c>
      <c r="AE68" s="15" t="s">
        <v>93</v>
      </c>
      <c r="AF68" s="15" t="s">
        <v>93</v>
      </c>
      <c r="AG68" s="15" t="s">
        <v>65</v>
      </c>
      <c r="AH68" s="15" t="s">
        <v>93</v>
      </c>
    </row>
    <row r="69" spans="3:34">
      <c r="C69" s="15" t="s">
        <v>94</v>
      </c>
      <c r="D69" s="16"/>
      <c r="E69" s="15"/>
      <c r="F69" s="15"/>
      <c r="G69" s="15"/>
      <c r="H69" s="15"/>
      <c r="I69" s="15"/>
      <c r="J69" s="15"/>
      <c r="K69" s="15"/>
      <c r="L69" s="15"/>
      <c r="M69" s="15"/>
      <c r="N69" s="15"/>
      <c r="O69" s="15"/>
      <c r="P69" s="15"/>
      <c r="Q69" s="15"/>
      <c r="R69" s="15"/>
      <c r="S69" s="15"/>
      <c r="T69" s="15"/>
      <c r="U69" s="15"/>
      <c r="V69" s="15"/>
      <c r="W69" s="15"/>
      <c r="X69" s="15"/>
      <c r="Y69" s="15" t="s">
        <v>65</v>
      </c>
      <c r="Z69" s="15" t="s">
        <v>65</v>
      </c>
      <c r="AA69" s="15" t="s">
        <v>65</v>
      </c>
      <c r="AB69" s="15" t="s">
        <v>65</v>
      </c>
      <c r="AC69" s="15" t="s">
        <v>65</v>
      </c>
      <c r="AD69" s="15" t="s">
        <v>65</v>
      </c>
      <c r="AE69" s="15" t="s">
        <v>65</v>
      </c>
      <c r="AF69" s="15" t="s">
        <v>65</v>
      </c>
      <c r="AG69" s="15" t="s">
        <v>65</v>
      </c>
      <c r="AH69" s="15" t="s">
        <v>65</v>
      </c>
    </row>
    <row r="70" spans="3:34">
      <c r="C70" s="15" t="s">
        <v>95</v>
      </c>
      <c r="D70" s="16"/>
      <c r="E70" s="15"/>
      <c r="F70" s="15"/>
      <c r="G70" s="15"/>
      <c r="H70" s="15"/>
      <c r="I70" s="15"/>
      <c r="J70" s="15"/>
      <c r="K70" s="15"/>
      <c r="L70" s="15"/>
      <c r="M70" s="15"/>
      <c r="N70" s="15"/>
      <c r="O70" s="15"/>
      <c r="P70" s="15"/>
      <c r="Q70" s="15"/>
      <c r="R70" s="15"/>
      <c r="S70" s="15"/>
      <c r="T70" s="15"/>
      <c r="U70" s="15"/>
      <c r="V70" s="15"/>
      <c r="W70" s="15"/>
      <c r="X70" s="15"/>
      <c r="Y70" s="15" t="s">
        <v>65</v>
      </c>
      <c r="Z70" s="15" t="s">
        <v>65</v>
      </c>
      <c r="AA70" s="15" t="s">
        <v>65</v>
      </c>
      <c r="AB70" s="15" t="s">
        <v>65</v>
      </c>
      <c r="AC70" s="15" t="s">
        <v>65</v>
      </c>
      <c r="AD70" s="15" t="s">
        <v>65</v>
      </c>
      <c r="AE70" s="15" t="s">
        <v>95</v>
      </c>
      <c r="AF70" s="15" t="s">
        <v>95</v>
      </c>
      <c r="AG70" s="15" t="s">
        <v>65</v>
      </c>
      <c r="AH70" s="15" t="s">
        <v>95</v>
      </c>
    </row>
    <row r="71" spans="3:34">
      <c r="C71" s="15" t="s">
        <v>72</v>
      </c>
      <c r="D71" s="16"/>
      <c r="E71" s="15"/>
      <c r="F71" s="15"/>
      <c r="G71" s="15"/>
      <c r="H71" s="15"/>
      <c r="I71" s="15"/>
      <c r="J71" s="15"/>
      <c r="K71" s="15"/>
      <c r="L71" s="15"/>
      <c r="M71" s="15"/>
      <c r="N71" s="15"/>
      <c r="O71" s="15"/>
      <c r="P71" s="15"/>
      <c r="Q71" s="15"/>
      <c r="R71" s="15"/>
      <c r="S71" s="15"/>
      <c r="T71" s="15"/>
      <c r="U71" s="15"/>
      <c r="V71" s="15"/>
      <c r="W71" s="15"/>
      <c r="X71" s="15"/>
      <c r="Y71" s="15" t="s">
        <v>65</v>
      </c>
      <c r="Z71" s="15" t="s">
        <v>65</v>
      </c>
      <c r="AA71" s="15" t="s">
        <v>65</v>
      </c>
      <c r="AB71" s="15" t="s">
        <v>72</v>
      </c>
      <c r="AC71" s="15" t="s">
        <v>72</v>
      </c>
      <c r="AD71" s="15" t="s">
        <v>65</v>
      </c>
      <c r="AE71" s="15" t="s">
        <v>72</v>
      </c>
      <c r="AF71" s="15" t="s">
        <v>72</v>
      </c>
      <c r="AG71" s="15" t="s">
        <v>65</v>
      </c>
      <c r="AH71" s="15" t="s">
        <v>72</v>
      </c>
    </row>
    <row r="72" spans="3:34">
      <c r="C72" s="15" t="s">
        <v>63</v>
      </c>
      <c r="D72" s="16"/>
      <c r="E72" s="15"/>
      <c r="F72" s="15"/>
      <c r="G72" s="15"/>
      <c r="H72" s="15"/>
      <c r="I72" s="15"/>
      <c r="J72" s="15"/>
      <c r="K72" s="15"/>
      <c r="L72" s="15"/>
      <c r="M72" s="15"/>
      <c r="N72" s="15"/>
      <c r="O72" s="15"/>
      <c r="P72" s="15"/>
      <c r="Q72" s="15"/>
      <c r="R72" s="15"/>
      <c r="S72" s="15"/>
      <c r="T72" s="15"/>
      <c r="U72" s="15"/>
      <c r="V72" s="15"/>
      <c r="W72" s="15"/>
      <c r="X72" s="15"/>
      <c r="Y72" s="15" t="s">
        <v>65</v>
      </c>
      <c r="Z72" s="15" t="s">
        <v>65</v>
      </c>
      <c r="AA72" s="15" t="s">
        <v>65</v>
      </c>
      <c r="AB72" s="15" t="s">
        <v>63</v>
      </c>
      <c r="AC72" s="15" t="s">
        <v>63</v>
      </c>
      <c r="AD72" s="15" t="s">
        <v>65</v>
      </c>
      <c r="AE72" s="15" t="s">
        <v>63</v>
      </c>
      <c r="AF72" s="15" t="s">
        <v>63</v>
      </c>
      <c r="AG72" s="15" t="s">
        <v>65</v>
      </c>
      <c r="AH72" s="15" t="s">
        <v>63</v>
      </c>
    </row>
    <row r="73" spans="3:34">
      <c r="C73" s="15" t="s">
        <v>77</v>
      </c>
      <c r="D73" s="16"/>
      <c r="E73" s="15"/>
      <c r="F73" s="15"/>
      <c r="G73" s="15"/>
      <c r="H73" s="15"/>
      <c r="I73" s="15"/>
      <c r="J73" s="15"/>
      <c r="K73" s="15"/>
      <c r="L73" s="15"/>
      <c r="M73" s="15"/>
      <c r="N73" s="15"/>
      <c r="O73" s="15"/>
      <c r="P73" s="15"/>
      <c r="Q73" s="15"/>
      <c r="R73" s="15"/>
      <c r="S73" s="15"/>
      <c r="T73" s="15"/>
      <c r="U73" s="15"/>
      <c r="V73" s="15"/>
      <c r="W73" s="15"/>
      <c r="X73" s="15"/>
      <c r="Y73" s="15" t="s">
        <v>65</v>
      </c>
      <c r="Z73" s="15" t="s">
        <v>65</v>
      </c>
      <c r="AA73" s="15" t="s">
        <v>65</v>
      </c>
      <c r="AB73" s="15" t="s">
        <v>77</v>
      </c>
      <c r="AC73" s="15" t="s">
        <v>77</v>
      </c>
      <c r="AD73" s="15" t="s">
        <v>65</v>
      </c>
      <c r="AE73" s="15" t="s">
        <v>77</v>
      </c>
      <c r="AF73" s="15" t="s">
        <v>77</v>
      </c>
      <c r="AG73" s="15" t="s">
        <v>65</v>
      </c>
      <c r="AH73" s="15" t="s">
        <v>77</v>
      </c>
    </row>
    <row r="74" spans="3:34">
      <c r="C74" s="15" t="s">
        <v>75</v>
      </c>
      <c r="D74" s="16"/>
      <c r="E74" s="15"/>
      <c r="F74" s="15"/>
      <c r="G74" s="15"/>
      <c r="H74" s="15"/>
      <c r="I74" s="15"/>
      <c r="J74" s="15"/>
      <c r="K74" s="15"/>
      <c r="L74" s="15"/>
      <c r="M74" s="15"/>
      <c r="N74" s="15"/>
      <c r="O74" s="15"/>
      <c r="P74" s="15"/>
      <c r="Q74" s="15"/>
      <c r="R74" s="15"/>
      <c r="S74" s="15"/>
      <c r="T74" s="15"/>
      <c r="U74" s="15"/>
      <c r="V74" s="15"/>
      <c r="W74" s="15"/>
      <c r="X74" s="15"/>
      <c r="Y74" s="15" t="s">
        <v>65</v>
      </c>
      <c r="Z74" s="15" t="s">
        <v>65</v>
      </c>
      <c r="AA74" s="15" t="s">
        <v>65</v>
      </c>
      <c r="AB74" s="15" t="s">
        <v>75</v>
      </c>
      <c r="AC74" s="15" t="s">
        <v>75</v>
      </c>
      <c r="AD74" s="15" t="s">
        <v>65</v>
      </c>
      <c r="AE74" s="15" t="s">
        <v>75</v>
      </c>
      <c r="AF74" s="15" t="s">
        <v>75</v>
      </c>
      <c r="AG74" s="15" t="s">
        <v>65</v>
      </c>
      <c r="AH74" s="15" t="s">
        <v>75</v>
      </c>
    </row>
    <row r="75" spans="3:34">
      <c r="C75" s="15" t="s">
        <v>61</v>
      </c>
      <c r="D75" s="16"/>
      <c r="E75" s="15"/>
      <c r="F75" s="15"/>
      <c r="G75" s="15"/>
      <c r="H75" s="15"/>
      <c r="I75" s="15"/>
      <c r="J75" s="15"/>
      <c r="K75" s="15"/>
      <c r="L75" s="15"/>
      <c r="M75" s="15"/>
      <c r="N75" s="15"/>
      <c r="O75" s="15"/>
      <c r="P75" s="15"/>
      <c r="Q75" s="15"/>
      <c r="R75" s="15"/>
      <c r="S75" s="15"/>
      <c r="T75" s="15"/>
      <c r="U75" s="15"/>
      <c r="V75" s="15"/>
      <c r="W75" s="15"/>
      <c r="X75" s="15"/>
      <c r="Y75" s="15" t="s">
        <v>65</v>
      </c>
      <c r="Z75" s="15" t="s">
        <v>65</v>
      </c>
      <c r="AA75" s="15" t="s">
        <v>65</v>
      </c>
      <c r="AB75" s="15" t="s">
        <v>61</v>
      </c>
      <c r="AC75" s="15" t="s">
        <v>61</v>
      </c>
      <c r="AD75" s="15" t="s">
        <v>65</v>
      </c>
      <c r="AE75" s="15" t="s">
        <v>61</v>
      </c>
      <c r="AF75" s="15" t="s">
        <v>61</v>
      </c>
      <c r="AG75" s="15" t="s">
        <v>65</v>
      </c>
      <c r="AH75" s="15" t="s">
        <v>61</v>
      </c>
    </row>
    <row r="76" spans="3:34">
      <c r="C76" s="15" t="s">
        <v>96</v>
      </c>
      <c r="D76" s="16"/>
      <c r="E76" s="15"/>
      <c r="F76" s="15"/>
      <c r="G76" s="15"/>
      <c r="H76" s="15"/>
      <c r="I76" s="15"/>
      <c r="J76" s="15"/>
      <c r="K76" s="15"/>
      <c r="L76" s="15"/>
      <c r="M76" s="15"/>
      <c r="N76" s="15"/>
      <c r="O76" s="15"/>
      <c r="P76" s="15"/>
      <c r="Q76" s="15"/>
      <c r="R76" s="15"/>
      <c r="S76" s="15"/>
      <c r="T76" s="15"/>
      <c r="U76" s="15"/>
      <c r="V76" s="15"/>
      <c r="W76" s="15"/>
      <c r="X76" s="15"/>
      <c r="Y76" s="15" t="s">
        <v>65</v>
      </c>
      <c r="Z76" s="15" t="s">
        <v>65</v>
      </c>
      <c r="AA76" s="15" t="s">
        <v>65</v>
      </c>
      <c r="AB76" s="15" t="s">
        <v>96</v>
      </c>
      <c r="AC76" s="15" t="s">
        <v>96</v>
      </c>
      <c r="AD76" s="15" t="s">
        <v>65</v>
      </c>
      <c r="AE76" s="15" t="s">
        <v>96</v>
      </c>
      <c r="AF76" s="15" t="s">
        <v>96</v>
      </c>
      <c r="AG76" s="15" t="s">
        <v>65</v>
      </c>
      <c r="AH76" s="15" t="s">
        <v>96</v>
      </c>
    </row>
    <row r="77" spans="3:34">
      <c r="C77" s="15" t="s">
        <v>67</v>
      </c>
      <c r="D77" s="18"/>
      <c r="E77" s="22"/>
      <c r="F77" s="22"/>
      <c r="G77" s="22"/>
      <c r="H77" s="22"/>
      <c r="I77" s="22"/>
      <c r="J77" s="22"/>
      <c r="K77" s="22"/>
      <c r="L77" s="22"/>
      <c r="M77" s="22"/>
      <c r="N77" s="22"/>
      <c r="O77" s="22"/>
      <c r="P77" s="22"/>
      <c r="Q77" s="22"/>
      <c r="R77" s="22"/>
      <c r="S77" s="22"/>
      <c r="T77" s="22"/>
      <c r="U77" s="22"/>
      <c r="V77" s="22"/>
      <c r="W77" s="22"/>
      <c r="X77" s="22"/>
      <c r="Y77" s="15" t="s">
        <v>65</v>
      </c>
      <c r="Z77" s="15" t="s">
        <v>65</v>
      </c>
      <c r="AA77" s="15" t="s">
        <v>65</v>
      </c>
      <c r="AB77" s="15" t="s">
        <v>67</v>
      </c>
      <c r="AC77" s="15" t="s">
        <v>67</v>
      </c>
      <c r="AD77" s="22" t="s">
        <v>65</v>
      </c>
      <c r="AE77" s="15" t="s">
        <v>67</v>
      </c>
      <c r="AF77" s="15" t="s">
        <v>67</v>
      </c>
      <c r="AG77" s="22" t="s">
        <v>65</v>
      </c>
      <c r="AH77" s="15" t="s">
        <v>67</v>
      </c>
    </row>
    <row r="78" spans="3:34">
      <c r="C78" s="15" t="s">
        <v>65</v>
      </c>
      <c r="D78" s="18"/>
      <c r="E78" s="22"/>
      <c r="F78" s="22"/>
      <c r="G78" s="22"/>
      <c r="H78" s="22"/>
      <c r="I78" s="22"/>
      <c r="J78" s="22"/>
      <c r="K78" s="22"/>
      <c r="L78" s="22"/>
      <c r="M78" s="22"/>
      <c r="N78" s="22"/>
      <c r="O78" s="22"/>
      <c r="P78" s="22"/>
      <c r="Q78" s="22"/>
      <c r="R78" s="22"/>
      <c r="S78" s="22"/>
      <c r="T78" s="22"/>
      <c r="U78" s="22"/>
      <c r="V78" s="22"/>
      <c r="W78" s="22"/>
      <c r="X78" s="22"/>
      <c r="Y78" s="15" t="s">
        <v>65</v>
      </c>
      <c r="Z78" s="15" t="s">
        <v>65</v>
      </c>
      <c r="AA78" s="15" t="s">
        <v>65</v>
      </c>
      <c r="AB78" s="22" t="s">
        <v>65</v>
      </c>
      <c r="AC78" s="22" t="s">
        <v>65</v>
      </c>
      <c r="AD78" s="22" t="s">
        <v>65</v>
      </c>
      <c r="AE78" s="22" t="s">
        <v>65</v>
      </c>
      <c r="AF78" s="22" t="s">
        <v>65</v>
      </c>
      <c r="AG78" s="22" t="s">
        <v>65</v>
      </c>
      <c r="AH78" s="22" t="s">
        <v>65</v>
      </c>
    </row>
  </sheetData>
  <sheetProtection selectLockedCells="1" selectUnlockedCells="1"/>
  <phoneticPr fontId="1" type="noConversion"/>
  <conditionalFormatting sqref="E7:E13">
    <cfRule type="containsText" priority="23" stopIfTrue="1" operator="containsText" text="Unused">
      <formula>NOT(ISERROR(SEARCH("Unused",E7)))</formula>
    </cfRule>
    <cfRule type="duplicateValues" dxfId="193" priority="24"/>
  </conditionalFormatting>
  <conditionalFormatting sqref="F7:F13">
    <cfRule type="containsText" priority="21" stopIfTrue="1" operator="containsText" text="Unused">
      <formula>NOT(ISERROR(SEARCH("Unused",F7)))</formula>
    </cfRule>
    <cfRule type="duplicateValues" dxfId="192" priority="22"/>
  </conditionalFormatting>
  <conditionalFormatting sqref="G7:G13">
    <cfRule type="containsText" priority="19" stopIfTrue="1" operator="containsText" text="Unused">
      <formula>NOT(ISERROR(SEARCH("Unused",G7)))</formula>
    </cfRule>
    <cfRule type="duplicateValues" dxfId="191" priority="20"/>
  </conditionalFormatting>
  <conditionalFormatting sqref="H7:H13">
    <cfRule type="containsText" priority="17" stopIfTrue="1" operator="containsText" text="Unused">
      <formula>NOT(ISERROR(SEARCH("Unused",H7)))</formula>
    </cfRule>
    <cfRule type="duplicateValues" dxfId="190" priority="18"/>
  </conditionalFormatting>
  <conditionalFormatting sqref="I7:I13">
    <cfRule type="containsText" priority="11" stopIfTrue="1" operator="containsText" text="Unused">
      <formula>NOT(ISERROR(SEARCH("Unused",I7)))</formula>
    </cfRule>
    <cfRule type="duplicateValues" dxfId="189" priority="12"/>
  </conditionalFormatting>
  <conditionalFormatting sqref="E4:E6">
    <cfRule type="containsText" priority="9" stopIfTrue="1" operator="containsText" text="Unused">
      <formula>NOT(ISERROR(SEARCH("Unused",E4)))</formula>
    </cfRule>
    <cfRule type="duplicateValues" dxfId="188" priority="10"/>
  </conditionalFormatting>
  <conditionalFormatting sqref="F4:F6">
    <cfRule type="containsText" priority="7" stopIfTrue="1" operator="containsText" text="Unused">
      <formula>NOT(ISERROR(SEARCH("Unused",F4)))</formula>
    </cfRule>
    <cfRule type="duplicateValues" dxfId="187" priority="8"/>
  </conditionalFormatting>
  <conditionalFormatting sqref="G4:G6">
    <cfRule type="containsText" priority="5" stopIfTrue="1" operator="containsText" text="Unused">
      <formula>NOT(ISERROR(SEARCH("Unused",G4)))</formula>
    </cfRule>
    <cfRule type="duplicateValues" dxfId="186" priority="6"/>
  </conditionalFormatting>
  <conditionalFormatting sqref="H4:H6">
    <cfRule type="containsText" priority="3" stopIfTrue="1" operator="containsText" text="Unused">
      <formula>NOT(ISERROR(SEARCH("Unused",H4)))</formula>
    </cfRule>
    <cfRule type="duplicateValues" dxfId="185" priority="4"/>
  </conditionalFormatting>
  <conditionalFormatting sqref="I4:I6">
    <cfRule type="containsText" priority="1" stopIfTrue="1" operator="containsText" text="Unused">
      <formula>NOT(ISERROR(SEARCH("Unused",I4)))</formula>
    </cfRule>
    <cfRule type="duplicateValues" dxfId="184" priority="2"/>
  </conditionalFormatting>
  <pageMargins left="0.7" right="0.7" top="0.75" bottom="0.75" header="0.3" footer="0.3"/>
  <pageSetup orientation="portrait" r:id="rId1"/>
  <tableParts count="4">
    <tablePart r:id="rId2"/>
    <tablePart r:id="rId3"/>
    <tablePart r:id="rId4"/>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1C440-ECA9-42BF-9ED5-5704B1208F24}">
  <sheetPr codeName="Sheet21"/>
  <dimension ref="C2:M53"/>
  <sheetViews>
    <sheetView zoomScale="70" zoomScaleNormal="70" workbookViewId="0">
      <selection activeCell="H30" sqref="H30"/>
    </sheetView>
  </sheetViews>
  <sheetFormatPr defaultColWidth="8.90625" defaultRowHeight="14.5"/>
  <cols>
    <col min="3" max="3" width="30.36328125" customWidth="1"/>
    <col min="4" max="4" width="20.1796875" bestFit="1" customWidth="1"/>
    <col min="5" max="5" width="14.54296875" customWidth="1"/>
    <col min="6" max="6" width="23.90625" customWidth="1"/>
    <col min="7" max="10" width="14.54296875" customWidth="1"/>
    <col min="11" max="11" width="19" customWidth="1"/>
    <col min="12" max="20" width="14.54296875" customWidth="1"/>
  </cols>
  <sheetData>
    <row r="2" spans="3:7">
      <c r="C2" s="39" t="s">
        <v>330</v>
      </c>
      <c r="F2" s="40" t="s">
        <v>331</v>
      </c>
    </row>
    <row r="3" spans="3:7">
      <c r="C3" s="39" t="s">
        <v>332</v>
      </c>
      <c r="D3" s="39" t="str">
        <f>Checklist!C18</f>
        <v>AS</v>
      </c>
      <c r="F3" s="40" t="s">
        <v>333</v>
      </c>
      <c r="G3" s="40" t="s">
        <v>334</v>
      </c>
    </row>
    <row r="4" spans="3:7">
      <c r="C4" s="39" t="s">
        <v>58</v>
      </c>
      <c r="D4" s="39">
        <f>Checklist!B72</f>
        <v>0</v>
      </c>
      <c r="F4" s="40" t="s">
        <v>69</v>
      </c>
      <c r="G4" s="40" t="str">
        <f>IF(ISNA(VLOOKUP(F4,$C$23:$D$53,2,FALSE)),"Unused",VLOOKUP(F4,$C$23:$D$53,2,FALSE))</f>
        <v>Unused</v>
      </c>
    </row>
    <row r="5" spans="3:7">
      <c r="F5" s="40" t="s">
        <v>87</v>
      </c>
      <c r="G5" s="40" t="str">
        <f t="shared" ref="G5:G20" si="0">IF(ISNA(VLOOKUP(F5,$C$23:$D$53,2,FALSE)),"Unused",VLOOKUP(F5,$C$23:$D$53,2,FALSE))</f>
        <v>AS_DATA1</v>
      </c>
    </row>
    <row r="6" spans="3:7">
      <c r="C6" s="41" t="s">
        <v>335</v>
      </c>
      <c r="F6" s="40" t="s">
        <v>88</v>
      </c>
      <c r="G6" s="40" t="str">
        <f t="shared" si="0"/>
        <v>AS_CLK</v>
      </c>
    </row>
    <row r="7" spans="3:7">
      <c r="C7" s="38" t="s">
        <v>334</v>
      </c>
      <c r="D7" s="38" t="s">
        <v>336</v>
      </c>
      <c r="F7" s="40" t="s">
        <v>89</v>
      </c>
      <c r="G7" s="40" t="str">
        <f t="shared" si="0"/>
        <v>AS_DATA2</v>
      </c>
    </row>
    <row r="8" spans="3:7">
      <c r="C8" t="s">
        <v>60</v>
      </c>
      <c r="D8" t="e" cm="1">
        <f t="array" ref="D8">IF(D4=SDMIO_ref!E3,SDMIO_ref!E4:E13,IF(D4=SDMIO_ref!F3,SDMIO_ref!F4:F13,IF(D4=SDMIO_ref!G3,SDMIO_ref!G4:G13,IF(D4=SDMIO_ref!H3,SDMIO_ref!H4:H13,IF(D4=SDMIO_ref!I3,SDMIO_ref!I4:I13,IF(D4=SDMIO_ref!#REF!,SDMIO_ref!#REF!,))))))</f>
        <v>#REF!</v>
      </c>
      <c r="F8" s="40" t="s">
        <v>90</v>
      </c>
      <c r="G8" s="40" t="str">
        <f t="shared" si="0"/>
        <v>AS_DATA0</v>
      </c>
    </row>
    <row r="9" spans="3:7">
      <c r="C9" t="s">
        <v>62</v>
      </c>
      <c r="F9" s="40" t="s">
        <v>91</v>
      </c>
      <c r="G9" s="40" t="str">
        <f t="shared" si="0"/>
        <v>AS_nCSO0</v>
      </c>
    </row>
    <row r="10" spans="3:7">
      <c r="C10" t="s">
        <v>64</v>
      </c>
      <c r="F10" s="40" t="s">
        <v>92</v>
      </c>
      <c r="G10" s="40" t="str">
        <f t="shared" si="0"/>
        <v>AS_DATA3</v>
      </c>
    </row>
    <row r="11" spans="3:7">
      <c r="C11" t="s">
        <v>66</v>
      </c>
      <c r="F11" s="40" t="s">
        <v>93</v>
      </c>
      <c r="G11" s="40" t="str">
        <f t="shared" si="0"/>
        <v>AS_nCSO2</v>
      </c>
    </row>
    <row r="12" spans="3:7">
      <c r="C12" t="s">
        <v>68</v>
      </c>
      <c r="F12" s="40" t="s">
        <v>94</v>
      </c>
      <c r="G12" s="40" t="str">
        <f t="shared" si="0"/>
        <v>AS_nCSO3</v>
      </c>
    </row>
    <row r="13" spans="3:7">
      <c r="C13" t="s">
        <v>70</v>
      </c>
      <c r="F13" s="40" t="s">
        <v>95</v>
      </c>
      <c r="G13" s="40" t="str">
        <f t="shared" si="0"/>
        <v>AS_nCSO1</v>
      </c>
    </row>
    <row r="14" spans="3:7">
      <c r="C14" t="s">
        <v>71</v>
      </c>
      <c r="F14" s="40" t="s">
        <v>72</v>
      </c>
      <c r="G14" s="40" t="str">
        <f t="shared" si="0"/>
        <v>Unused</v>
      </c>
    </row>
    <row r="15" spans="3:7">
      <c r="C15" t="s">
        <v>73</v>
      </c>
      <c r="F15" s="40" t="s">
        <v>63</v>
      </c>
      <c r="G15" s="40" t="str">
        <f t="shared" si="0"/>
        <v>Unused</v>
      </c>
    </row>
    <row r="16" spans="3:7">
      <c r="C16" t="s">
        <v>74</v>
      </c>
      <c r="F16" s="40" t="s">
        <v>77</v>
      </c>
      <c r="G16" s="40" t="str">
        <f t="shared" si="0"/>
        <v>Unused</v>
      </c>
    </row>
    <row r="17" spans="3:7">
      <c r="C17" t="s">
        <v>76</v>
      </c>
      <c r="F17" s="40" t="s">
        <v>75</v>
      </c>
      <c r="G17" s="40" t="str">
        <f t="shared" si="0"/>
        <v>Unused</v>
      </c>
    </row>
    <row r="18" spans="3:7">
      <c r="F18" s="40" t="s">
        <v>61</v>
      </c>
      <c r="G18" s="40" t="str">
        <f t="shared" si="0"/>
        <v>Unused</v>
      </c>
    </row>
    <row r="19" spans="3:7">
      <c r="F19" s="40" t="s">
        <v>96</v>
      </c>
      <c r="G19" s="40" t="str">
        <f t="shared" si="0"/>
        <v>AS_nRST</v>
      </c>
    </row>
    <row r="20" spans="3:7">
      <c r="F20" s="40" t="s">
        <v>67</v>
      </c>
      <c r="G20" s="40" t="str">
        <f t="shared" si="0"/>
        <v>Unused</v>
      </c>
    </row>
    <row r="22" spans="3:7">
      <c r="C22" s="41" t="s">
        <v>337</v>
      </c>
    </row>
    <row r="23" spans="3:7">
      <c r="C23" t="str">
        <f>IF($D$3="AS",_xlfn.CONCAT(tblAS[AS_CLK]),"")</f>
        <v>SDM_IO2</v>
      </c>
      <c r="D23" t="s">
        <v>277</v>
      </c>
    </row>
    <row r="24" spans="3:7">
      <c r="C24" t="str">
        <f>IF($D$3="AS",_xlfn.CONCAT(tblAS[AS_DATA0]),"")</f>
        <v>SDM_IO4</v>
      </c>
      <c r="D24" t="s">
        <v>279</v>
      </c>
    </row>
    <row r="25" spans="3:7">
      <c r="C25" t="str">
        <f>IF($D$3="AS",_xlfn.CONCAT(tblAS[AS_DATA1]),"")</f>
        <v>SDM_IO1</v>
      </c>
      <c r="D25" t="s">
        <v>281</v>
      </c>
    </row>
    <row r="26" spans="3:7">
      <c r="C26" t="str">
        <f>IF($D$3="AS",_xlfn.CONCAT(tblAS[AS_DATA2]),"")</f>
        <v>SDM_IO3</v>
      </c>
      <c r="D26" t="s">
        <v>283</v>
      </c>
    </row>
    <row r="27" spans="3:7">
      <c r="C27" t="str">
        <f>IF($D$3="AS",_xlfn.CONCAT(tblAS[AS_DATA3]),"")</f>
        <v>SDM_IO6</v>
      </c>
      <c r="D27" t="s">
        <v>285</v>
      </c>
    </row>
    <row r="28" spans="3:7">
      <c r="C28" t="str">
        <f>IF($D$3="AS",_xlfn.CONCAT(tblAS[AS_nCSO0]),"")</f>
        <v>SDM_IO5</v>
      </c>
      <c r="D28" t="s">
        <v>287</v>
      </c>
    </row>
    <row r="29" spans="3:7">
      <c r="C29" t="str">
        <f>IF($D$3="AS",_xlfn.CONCAT(tblAS[AS_nCSO1]),"")</f>
        <v>SDM_IO9</v>
      </c>
      <c r="D29" t="s">
        <v>289</v>
      </c>
    </row>
    <row r="30" spans="3:7">
      <c r="C30" t="str">
        <f>IF($D$3="AS",_xlfn.CONCAT(tblAS[AS_nCSO2]),"")</f>
        <v>SDM_IO7</v>
      </c>
      <c r="D30" t="s">
        <v>290</v>
      </c>
    </row>
    <row r="31" spans="3:7">
      <c r="C31" t="str">
        <f>IF($D$3="AS",_xlfn.CONCAT(tblAS[AS_nCSO3]),"")</f>
        <v>SDM_IO8</v>
      </c>
      <c r="D31" t="s">
        <v>291</v>
      </c>
    </row>
    <row r="32" spans="3:7">
      <c r="C32" t="str">
        <f>IF($D$3="AS",_xlfn.CONCAT(tblAS[AS_nRST]),"")</f>
        <v>SDM_IO15</v>
      </c>
      <c r="D32" t="s">
        <v>292</v>
      </c>
    </row>
    <row r="33" spans="3:13">
      <c r="C33" t="str">
        <f>IF($D$3="AVSTx8",_xlfn.CONCAT(tblAVSTx8[AVSTx8_CLK]),"")</f>
        <v/>
      </c>
      <c r="D33" t="s">
        <v>294</v>
      </c>
    </row>
    <row r="34" spans="3:13">
      <c r="C34" t="str">
        <f>IF($D$3="AVSTx8",_xlfn.CONCAT(tblAVSTx8[AVSTx8_DATA0]),"")</f>
        <v/>
      </c>
      <c r="D34" t="s">
        <v>296</v>
      </c>
    </row>
    <row r="35" spans="3:13">
      <c r="C35" t="str">
        <f>IF($D$3="AVSTx8",_xlfn.CONCAT(tblAVSTx8[AVSTx8_DATA1]),"")</f>
        <v/>
      </c>
      <c r="D35" t="s">
        <v>298</v>
      </c>
    </row>
    <row r="36" spans="3:13">
      <c r="C36" t="str">
        <f>IF($D$3="AVSTx8",_xlfn.CONCAT(tblAVSTx8[AVSTx8_DATA2]),"")</f>
        <v/>
      </c>
      <c r="D36" t="s">
        <v>300</v>
      </c>
    </row>
    <row r="37" spans="3:13">
      <c r="C37" t="str">
        <f>IF($D$3="AVSTx8",_xlfn.CONCAT(tblAVSTx8[AVSTx8_DATA3]),"")</f>
        <v/>
      </c>
      <c r="D37" t="s">
        <v>302</v>
      </c>
    </row>
    <row r="38" spans="3:13">
      <c r="C38" t="str">
        <f>IF($D$3="AVSTx8",_xlfn.CONCAT(tblAVSTx8[AVSTx8_DATA4]),"")</f>
        <v/>
      </c>
      <c r="D38" t="s">
        <v>304</v>
      </c>
    </row>
    <row r="39" spans="3:13">
      <c r="C39" t="str">
        <f>IF($D$3="AVSTx8",_xlfn.CONCAT(tblAVSTx8[AVSTx8_DATA5]),"")</f>
        <v/>
      </c>
      <c r="D39" t="s">
        <v>306</v>
      </c>
    </row>
    <row r="40" spans="3:13">
      <c r="C40" t="str">
        <f>IF($D$3="AVSTx8",_xlfn.CONCAT(tblAVSTx8[AVSTx8_DATA6]),"")</f>
        <v/>
      </c>
      <c r="D40" t="s">
        <v>308</v>
      </c>
    </row>
    <row r="41" spans="3:13">
      <c r="C41" t="str">
        <f>IF($D$3="AVSTx8",_xlfn.CONCAT(tblAVSTx8[AVSTx8_DATA7]),"")</f>
        <v/>
      </c>
      <c r="D41" t="s">
        <v>310</v>
      </c>
    </row>
    <row r="42" spans="3:13">
      <c r="C42" t="str">
        <f>IF($D$3="AVSTx8",_xlfn.CONCAT(tblAVSTx8[AVSTx8_READY]),"")</f>
        <v/>
      </c>
      <c r="D42" t="s">
        <v>312</v>
      </c>
    </row>
    <row r="43" spans="3:13">
      <c r="C43" t="str">
        <f>IF($D$3="AVSTx8",_xlfn.CONCAT(tblAVSTx8[AVSTx8_VALID]),"")</f>
        <v/>
      </c>
      <c r="D43" t="s">
        <v>314</v>
      </c>
      <c r="F43" s="42" t="s">
        <v>338</v>
      </c>
    </row>
    <row r="44" spans="3:13">
      <c r="D44" t="s">
        <v>60</v>
      </c>
      <c r="F44" s="43" t="str" cm="1">
        <f t="array" ref="F44">_xlfn._xlws.SORT(CreateDSTDropList(tblAVSTx8[PWRMGT_SCL]),1,1,TRUE)</f>
        <v>Unused</v>
      </c>
      <c r="G44" s="43"/>
      <c r="H44" s="43"/>
      <c r="I44" s="43"/>
      <c r="J44" s="43"/>
      <c r="K44" s="43"/>
      <c r="L44" s="43"/>
      <c r="M44" s="43"/>
    </row>
    <row r="45" spans="3:13">
      <c r="D45" t="s">
        <v>62</v>
      </c>
      <c r="F45" s="43" t="str" cm="1">
        <f t="array" ref="F45">_xlfn._xlws.SORT(CreateDSTDropList(tblAVSTx8[PWRMGT_SDA]),1,1,TRUE)</f>
        <v>Unused</v>
      </c>
      <c r="G45" s="43"/>
      <c r="H45" s="43"/>
      <c r="I45" s="43"/>
      <c r="J45" s="43"/>
      <c r="K45" s="43"/>
      <c r="L45" s="43"/>
      <c r="M45" s="43"/>
    </row>
    <row r="46" spans="3:13">
      <c r="D46" t="s">
        <v>64</v>
      </c>
      <c r="F46" s="43" t="str" cm="1">
        <f t="array" ref="F46">_xlfn._xlws.SORT(CreateDSTDropList(tblAVSTx8[PWRMGT_ALERT]),1,1,TRUE)</f>
        <v>Unused</v>
      </c>
      <c r="G46" s="43"/>
      <c r="H46" s="43"/>
      <c r="I46" s="43"/>
      <c r="J46" s="43"/>
      <c r="K46" s="43"/>
      <c r="L46" s="43"/>
      <c r="M46" s="43"/>
    </row>
    <row r="47" spans="3:13">
      <c r="C47" s="39" cm="1">
        <f t="array" ref="C47:C53">Checklist!B73:B79</f>
        <v>0</v>
      </c>
      <c r="D47" t="s">
        <v>66</v>
      </c>
      <c r="E47" t="s">
        <v>339</v>
      </c>
      <c r="F47" s="43" t="str" cm="1">
        <f t="array" ref="F47:M47">_xlfn._xlws.SORT(CreateDSTDropList(tblAS[CONF_DONE]),1,1,TRUE)</f>
        <v>SDM_IO0</v>
      </c>
      <c r="G47" s="43" t="str">
        <v>SDM_IO10</v>
      </c>
      <c r="H47" s="43" t="str">
        <v>SDM_IO11</v>
      </c>
      <c r="I47" s="43" t="str">
        <v>SDM_IO12</v>
      </c>
      <c r="J47" s="43" t="str">
        <v>SDM_IO13</v>
      </c>
      <c r="K47" s="43" t="str">
        <v>SDM_IO14</v>
      </c>
      <c r="L47" s="43" t="str">
        <v>SDM_IO16</v>
      </c>
      <c r="M47" s="43" t="str">
        <v>Unused</v>
      </c>
    </row>
    <row r="48" spans="3:13">
      <c r="C48" s="39">
        <v>0</v>
      </c>
      <c r="D48" t="s">
        <v>68</v>
      </c>
      <c r="E48" t="s">
        <v>340</v>
      </c>
      <c r="F48" s="43" t="str" cm="1">
        <f t="array" ref="F48:M48">_xlfn._xlws.SORT(CreateDSTDropList(tblAS[INIT_DONE]),1,1,TRUE)</f>
        <v>SDM_IO0</v>
      </c>
      <c r="G48" s="43" t="str">
        <v>SDM_IO10</v>
      </c>
      <c r="H48" s="43" t="str">
        <v>SDM_IO11</v>
      </c>
      <c r="I48" s="43" t="str">
        <v>SDM_IO12</v>
      </c>
      <c r="J48" s="43" t="str">
        <v>SDM_IO13</v>
      </c>
      <c r="K48" s="43" t="str">
        <v>SDM_IO14</v>
      </c>
      <c r="L48" s="43" t="str">
        <v>SDM_IO16</v>
      </c>
      <c r="M48" s="43" t="str">
        <v>Unused</v>
      </c>
    </row>
    <row r="49" spans="3:13">
      <c r="C49" s="39">
        <v>0</v>
      </c>
      <c r="D49" t="s">
        <v>70</v>
      </c>
      <c r="E49" t="s">
        <v>341</v>
      </c>
      <c r="F49" s="43" t="str" cm="1">
        <f t="array" ref="F49:M49">_xlfn._xlws.SORT(CreateDSTDropList(tblAS[CvP_CONFDONE]),1,1,TRUE)</f>
        <v>SDM_IO0</v>
      </c>
      <c r="G49" s="43" t="str">
        <v>SDM_IO10</v>
      </c>
      <c r="H49" s="43" t="str">
        <v>SDM_IO11</v>
      </c>
      <c r="I49" s="43" t="str">
        <v>SDM_IO12</v>
      </c>
      <c r="J49" s="43" t="str">
        <v>SDM_IO13</v>
      </c>
      <c r="K49" s="43" t="str">
        <v>SDM_IO14</v>
      </c>
      <c r="L49" s="43" t="str">
        <v>SDM_IO16</v>
      </c>
      <c r="M49" s="43" t="str">
        <v>Unused</v>
      </c>
    </row>
    <row r="50" spans="3:13">
      <c r="C50" s="39">
        <v>0</v>
      </c>
      <c r="D50" t="s">
        <v>71</v>
      </c>
      <c r="E50" t="s">
        <v>342</v>
      </c>
      <c r="F50" s="43" t="str" cm="1">
        <f t="array" ref="F50:M50">_xlfn._xlws.SORT(CreateDSTDropList(tblAS[SEU_ERROR]),1,1,TRUE)</f>
        <v>SDM_IO0</v>
      </c>
      <c r="G50" s="43" t="str">
        <v>SDM_IO10</v>
      </c>
      <c r="H50" s="43" t="str">
        <v>SDM_IO11</v>
      </c>
      <c r="I50" s="43" t="str">
        <v>SDM_IO12</v>
      </c>
      <c r="J50" s="43" t="str">
        <v>SDM_IO13</v>
      </c>
      <c r="K50" s="43" t="str">
        <v>SDM_IO14</v>
      </c>
      <c r="L50" s="43" t="str">
        <v>SDM_IO16</v>
      </c>
      <c r="M50" s="43" t="str">
        <v>Unused</v>
      </c>
    </row>
    <row r="51" spans="3:13">
      <c r="C51" s="39">
        <v>0</v>
      </c>
      <c r="D51" t="s">
        <v>73</v>
      </c>
      <c r="E51" t="s">
        <v>343</v>
      </c>
      <c r="F51" s="43" t="str" cm="1">
        <f t="array" ref="F51:M51">_xlfn._xlws.SORT(CreateDSTDropList(tblAS[HPS_COLD_nRESET]),1,1,TRUE)</f>
        <v>SDM_IO0</v>
      </c>
      <c r="G51" s="43" t="str">
        <v>SDM_IO10</v>
      </c>
      <c r="H51" s="43" t="str">
        <v>SDM_IO11</v>
      </c>
      <c r="I51" s="43" t="str">
        <v>SDM_IO12</v>
      </c>
      <c r="J51" s="43" t="str">
        <v>SDM_IO13</v>
      </c>
      <c r="K51" s="43" t="str">
        <v>SDM_IO14</v>
      </c>
      <c r="L51" s="43" t="str">
        <v>SDM_IO16</v>
      </c>
      <c r="M51" s="43" t="str">
        <v>Unused</v>
      </c>
    </row>
    <row r="52" spans="3:13">
      <c r="C52" s="39">
        <v>0</v>
      </c>
      <c r="D52" t="s">
        <v>74</v>
      </c>
      <c r="E52" t="s">
        <v>344</v>
      </c>
      <c r="F52" s="43" t="str" cm="1">
        <f t="array" ref="F52:M52">_xlfn._xlws.SORT(CreateDSTDropList(tblAS[Direct to Factory Image]),1,1,TRUE)</f>
        <v>SDM_IO0</v>
      </c>
      <c r="G52" s="43" t="str">
        <v>SDM_IO10</v>
      </c>
      <c r="H52" s="43" t="str">
        <v>SDM_IO11</v>
      </c>
      <c r="I52" s="43" t="str">
        <v>SDM_IO12</v>
      </c>
      <c r="J52" s="43" t="str">
        <v>SDM_IO13</v>
      </c>
      <c r="K52" s="43" t="str">
        <v>SDM_IO14</v>
      </c>
      <c r="L52" s="43" t="str">
        <v>SDM_IO16</v>
      </c>
      <c r="M52" s="43" t="str">
        <v>Unused</v>
      </c>
    </row>
    <row r="53" spans="3:13">
      <c r="C53" s="39">
        <v>0</v>
      </c>
      <c r="D53" t="s">
        <v>76</v>
      </c>
      <c r="E53" t="s">
        <v>345</v>
      </c>
      <c r="F53" s="43" t="str" cm="1">
        <f t="array" ref="F53:M53">_xlfn._xlws.SORT(CreateDSTDropList(tblAS[nCATTRIP]),1,1,TRUE)</f>
        <v>SDM_IO0</v>
      </c>
      <c r="G53" s="43" t="str">
        <v>SDM_IO10</v>
      </c>
      <c r="H53" s="43" t="str">
        <v>SDM_IO11</v>
      </c>
      <c r="I53" s="43" t="str">
        <v>SDM_IO12</v>
      </c>
      <c r="J53" s="43" t="str">
        <v>SDM_IO13</v>
      </c>
      <c r="K53" s="43" t="str">
        <v>SDM_IO14</v>
      </c>
      <c r="L53" s="43" t="str">
        <v>SDM_IO16</v>
      </c>
      <c r="M53" s="43" t="str">
        <v>Unused</v>
      </c>
    </row>
  </sheetData>
  <phoneticPr fontId="1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2DAD0-3CBE-4B8A-98A0-871D5D6F651F}">
  <sheetPr codeName="Sheet4"/>
  <dimension ref="A3:D20"/>
  <sheetViews>
    <sheetView zoomScale="85" zoomScaleNormal="85" workbookViewId="0">
      <selection activeCell="C12" sqref="C12"/>
    </sheetView>
  </sheetViews>
  <sheetFormatPr defaultColWidth="8.81640625" defaultRowHeight="13.5"/>
  <cols>
    <col min="1" max="1" width="43" style="59" customWidth="1"/>
    <col min="2" max="2" width="19.453125" style="59" bestFit="1" customWidth="1"/>
    <col min="3" max="3" width="81.1796875" style="59" customWidth="1"/>
    <col min="4" max="4" width="71.54296875" style="59" customWidth="1"/>
    <col min="5" max="16384" width="8.81640625" style="59"/>
  </cols>
  <sheetData>
    <row r="3" spans="1:4">
      <c r="A3" s="58" t="s">
        <v>30</v>
      </c>
      <c r="B3" s="58" t="s">
        <v>565</v>
      </c>
      <c r="C3" s="58" t="s">
        <v>254</v>
      </c>
      <c r="D3" s="58" t="s">
        <v>31</v>
      </c>
    </row>
    <row r="4" spans="1:4" ht="188.5">
      <c r="A4" s="186" t="s">
        <v>566</v>
      </c>
      <c r="B4" s="43" t="s">
        <v>567</v>
      </c>
      <c r="C4" s="186" t="s">
        <v>1185</v>
      </c>
      <c r="D4" s="186" t="s">
        <v>1500</v>
      </c>
    </row>
    <row r="5" spans="1:4" ht="159.5">
      <c r="A5" s="186" t="s">
        <v>747</v>
      </c>
      <c r="B5" s="43" t="s">
        <v>567</v>
      </c>
      <c r="C5" s="186" t="s">
        <v>1186</v>
      </c>
      <c r="D5" s="186" t="s">
        <v>1500</v>
      </c>
    </row>
    <row r="6" spans="1:4" ht="159.5">
      <c r="A6" s="186" t="s">
        <v>748</v>
      </c>
      <c r="B6" s="43" t="s">
        <v>568</v>
      </c>
      <c r="C6" s="186" t="s">
        <v>1187</v>
      </c>
      <c r="D6" s="186" t="s">
        <v>1500</v>
      </c>
    </row>
    <row r="7" spans="1:4">
      <c r="A7" s="60"/>
      <c r="B7" s="60"/>
      <c r="C7" s="60"/>
      <c r="D7" s="60"/>
    </row>
    <row r="12" spans="1:4" ht="13.5" customHeight="1"/>
    <row r="13" spans="1:4" ht="13.5" customHeight="1"/>
    <row r="14" spans="1:4" ht="13.5" customHeight="1"/>
    <row r="20" ht="15" customHeight="1"/>
  </sheetData>
  <sheetProtection selectLockedCells="1" selectUnlockedCells="1"/>
  <phoneticPr fontId="18"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C4A01-2CCB-443F-BA39-29BF1556F3C4}">
  <sheetPr codeName="Sheet14"/>
  <dimension ref="A1:D22"/>
  <sheetViews>
    <sheetView topLeftCell="A6" zoomScale="55" zoomScaleNormal="55" workbookViewId="0">
      <selection activeCell="H16" sqref="H16"/>
    </sheetView>
  </sheetViews>
  <sheetFormatPr defaultColWidth="8.81640625" defaultRowHeight="14"/>
  <cols>
    <col min="1" max="1" width="38.1796875" style="53" customWidth="1"/>
    <col min="2" max="2" width="79" style="53" customWidth="1"/>
    <col min="3" max="3" width="116.81640625" style="53" customWidth="1"/>
    <col min="4" max="4" width="124" style="53" customWidth="1"/>
    <col min="5" max="16384" width="8.81640625" style="53"/>
  </cols>
  <sheetData>
    <row r="1" spans="1:4">
      <c r="A1" s="51" t="s">
        <v>733</v>
      </c>
      <c r="B1" s="51"/>
      <c r="C1" s="51"/>
      <c r="D1" s="51"/>
    </row>
    <row r="2" spans="1:4">
      <c r="A2" s="52" t="s">
        <v>30</v>
      </c>
      <c r="B2" s="52" t="s">
        <v>349</v>
      </c>
      <c r="C2" s="52" t="s">
        <v>34</v>
      </c>
      <c r="D2" s="52" t="s">
        <v>31</v>
      </c>
    </row>
    <row r="3" spans="1:4" ht="72.5">
      <c r="A3" s="186" t="s">
        <v>734</v>
      </c>
      <c r="B3" s="186" t="s">
        <v>590</v>
      </c>
      <c r="C3" s="186" t="s">
        <v>998</v>
      </c>
      <c r="D3" s="186" t="s">
        <v>735</v>
      </c>
    </row>
    <row r="5" spans="1:4">
      <c r="A5" s="51" t="s">
        <v>729</v>
      </c>
      <c r="B5" s="51"/>
      <c r="C5" s="51"/>
      <c r="D5" s="51"/>
    </row>
    <row r="6" spans="1:4">
      <c r="A6" s="52" t="s">
        <v>30</v>
      </c>
      <c r="B6" s="52" t="s">
        <v>349</v>
      </c>
      <c r="C6" s="52" t="s">
        <v>34</v>
      </c>
      <c r="D6" s="52" t="s">
        <v>31</v>
      </c>
    </row>
    <row r="7" spans="1:4" ht="356.25" customHeight="1">
      <c r="A7" s="186" t="s">
        <v>1188</v>
      </c>
      <c r="B7" s="186" t="s">
        <v>731</v>
      </c>
      <c r="C7" s="186" t="s">
        <v>1000</v>
      </c>
      <c r="D7" s="186" t="s">
        <v>1501</v>
      </c>
    </row>
    <row r="9" spans="1:4">
      <c r="A9" s="51" t="s">
        <v>598</v>
      </c>
      <c r="B9" s="51"/>
      <c r="C9" s="51"/>
      <c r="D9" s="51"/>
    </row>
    <row r="10" spans="1:4">
      <c r="A10" s="52" t="s">
        <v>30</v>
      </c>
      <c r="B10" s="52" t="s">
        <v>349</v>
      </c>
      <c r="C10" s="52" t="s">
        <v>34</v>
      </c>
      <c r="D10" s="52" t="s">
        <v>31</v>
      </c>
    </row>
    <row r="11" spans="1:4" ht="101.5">
      <c r="A11" s="186" t="s">
        <v>589</v>
      </c>
      <c r="B11" s="186" t="s">
        <v>590</v>
      </c>
      <c r="C11" s="186" t="s">
        <v>1189</v>
      </c>
      <c r="D11" s="186" t="s">
        <v>822</v>
      </c>
    </row>
    <row r="14" spans="1:4">
      <c r="A14" s="54" t="s">
        <v>591</v>
      </c>
      <c r="B14" s="51"/>
      <c r="C14" s="51"/>
      <c r="D14" s="51"/>
    </row>
    <row r="15" spans="1:4">
      <c r="A15" s="55" t="s">
        <v>30</v>
      </c>
      <c r="B15" s="55" t="s">
        <v>349</v>
      </c>
      <c r="C15" s="55" t="s">
        <v>34</v>
      </c>
      <c r="D15" s="55" t="s">
        <v>31</v>
      </c>
    </row>
    <row r="16" spans="1:4" ht="29">
      <c r="A16" s="186" t="s">
        <v>592</v>
      </c>
      <c r="B16" s="186" t="s">
        <v>346</v>
      </c>
      <c r="C16" s="186" t="s">
        <v>1190</v>
      </c>
      <c r="D16" s="186" t="s">
        <v>823</v>
      </c>
    </row>
    <row r="17" spans="1:4" ht="58">
      <c r="A17" s="186" t="s">
        <v>593</v>
      </c>
      <c r="B17" s="186" t="s">
        <v>346</v>
      </c>
      <c r="C17" s="186" t="s">
        <v>1191</v>
      </c>
      <c r="D17" s="186" t="s">
        <v>1192</v>
      </c>
    </row>
    <row r="18" spans="1:4" ht="50.25" customHeight="1">
      <c r="A18" s="186" t="s">
        <v>1193</v>
      </c>
      <c r="B18" s="186" t="s">
        <v>346</v>
      </c>
      <c r="C18" s="186" t="s">
        <v>824</v>
      </c>
      <c r="D18" s="186" t="s">
        <v>823</v>
      </c>
    </row>
    <row r="19" spans="1:4" ht="116">
      <c r="A19" s="186" t="s">
        <v>999</v>
      </c>
      <c r="B19" s="186" t="s">
        <v>346</v>
      </c>
      <c r="C19" s="186" t="s">
        <v>825</v>
      </c>
      <c r="D19" s="186" t="s">
        <v>1194</v>
      </c>
    </row>
    <row r="20" spans="1:4" ht="14.5">
      <c r="A20" s="186" t="s">
        <v>594</v>
      </c>
      <c r="B20" s="186" t="s">
        <v>498</v>
      </c>
      <c r="C20" s="186" t="s">
        <v>826</v>
      </c>
      <c r="D20" s="186" t="s">
        <v>822</v>
      </c>
    </row>
    <row r="21" spans="1:4" ht="29">
      <c r="A21" s="186" t="s">
        <v>595</v>
      </c>
      <c r="B21" s="186" t="s">
        <v>346</v>
      </c>
      <c r="C21" s="186" t="s">
        <v>827</v>
      </c>
      <c r="D21" s="186" t="s">
        <v>823</v>
      </c>
    </row>
    <row r="22" spans="1:4" ht="43.5">
      <c r="A22" s="186" t="s">
        <v>596</v>
      </c>
      <c r="B22" s="186" t="s">
        <v>597</v>
      </c>
      <c r="C22" s="186" t="s">
        <v>828</v>
      </c>
      <c r="D22" s="186" t="s">
        <v>829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D5303-199F-420D-9F32-C098B000E116}">
  <sheetPr codeName="Sheet9"/>
  <dimension ref="A3:D8"/>
  <sheetViews>
    <sheetView zoomScale="80" zoomScaleNormal="80" workbookViewId="0">
      <selection activeCell="B17" sqref="B17"/>
    </sheetView>
  </sheetViews>
  <sheetFormatPr defaultColWidth="8.81640625" defaultRowHeight="14"/>
  <cols>
    <col min="1" max="1" width="19.54296875" style="4" bestFit="1" customWidth="1"/>
    <col min="2" max="2" width="106.1796875" style="4" customWidth="1"/>
    <col min="3" max="3" width="81.81640625" style="4" customWidth="1"/>
    <col min="4" max="4" width="72.1796875" style="4" customWidth="1"/>
    <col min="5" max="16384" width="8.81640625" style="4"/>
  </cols>
  <sheetData>
    <row r="3" spans="1:4">
      <c r="A3" s="12" t="s">
        <v>30</v>
      </c>
      <c r="B3" s="12" t="s">
        <v>271</v>
      </c>
      <c r="C3" s="12" t="s">
        <v>254</v>
      </c>
      <c r="D3" s="12" t="s">
        <v>31</v>
      </c>
    </row>
    <row r="4" spans="1:4" ht="188.5">
      <c r="A4" s="186" t="s">
        <v>678</v>
      </c>
      <c r="B4" s="186" t="s">
        <v>346</v>
      </c>
      <c r="C4" s="186" t="s">
        <v>679</v>
      </c>
      <c r="D4" s="186" t="s">
        <v>1195</v>
      </c>
    </row>
    <row r="5" spans="1:4" ht="188.5">
      <c r="A5" s="186" t="s">
        <v>680</v>
      </c>
      <c r="B5" s="186" t="s">
        <v>346</v>
      </c>
      <c r="C5" s="186" t="s">
        <v>679</v>
      </c>
      <c r="D5" s="186" t="s">
        <v>1195</v>
      </c>
    </row>
    <row r="6" spans="1:4" ht="72.5">
      <c r="A6" s="186" t="s">
        <v>99</v>
      </c>
      <c r="B6" s="186" t="s">
        <v>346</v>
      </c>
      <c r="C6" s="186" t="s">
        <v>347</v>
      </c>
      <c r="D6" s="186" t="s">
        <v>1001</v>
      </c>
    </row>
    <row r="7" spans="1:4" ht="72.5">
      <c r="A7" s="186" t="s">
        <v>100</v>
      </c>
      <c r="B7" s="186" t="s">
        <v>346</v>
      </c>
      <c r="C7" s="186" t="s">
        <v>347</v>
      </c>
      <c r="D7" s="186" t="s">
        <v>1001</v>
      </c>
    </row>
    <row r="8" spans="1:4" ht="87">
      <c r="A8" s="186" t="s">
        <v>681</v>
      </c>
      <c r="B8" s="186" t="s">
        <v>346</v>
      </c>
      <c r="C8" s="186" t="s">
        <v>348</v>
      </c>
      <c r="D8" s="186" t="s">
        <v>1002</v>
      </c>
    </row>
  </sheetData>
  <sheetProtection selectLockedCells="1" selectUnlockedCells="1"/>
  <phoneticPr fontId="1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AC2DC-0E68-492C-9A01-E6CC6CF3BAA8}">
  <sheetPr codeName="Sheet6"/>
  <dimension ref="A1:E76"/>
  <sheetViews>
    <sheetView zoomScale="70" zoomScaleNormal="70" workbookViewId="0">
      <selection activeCell="D31" sqref="D31"/>
    </sheetView>
  </sheetViews>
  <sheetFormatPr defaultColWidth="8.81640625" defaultRowHeight="14.5"/>
  <cols>
    <col min="1" max="1" width="65.453125" style="11" bestFit="1" customWidth="1"/>
    <col min="2" max="2" width="63" style="11" bestFit="1" customWidth="1"/>
    <col min="3" max="3" width="68.08984375" customWidth="1"/>
    <col min="4" max="4" width="91.54296875" style="11" bestFit="1" customWidth="1"/>
    <col min="6" max="6" width="45.54296875" style="11" customWidth="1"/>
    <col min="7" max="16384" width="8.81640625" style="11"/>
  </cols>
  <sheetData>
    <row r="1" spans="1:5" ht="14">
      <c r="C1" s="11"/>
      <c r="E1" s="11"/>
    </row>
    <row r="2" spans="1:5" ht="14">
      <c r="C2" s="11"/>
      <c r="E2" s="11"/>
    </row>
    <row r="3" spans="1:5" s="56" customFormat="1" ht="14">
      <c r="A3" s="191" t="s">
        <v>30</v>
      </c>
      <c r="B3" s="191" t="s">
        <v>349</v>
      </c>
      <c r="C3" s="191" t="s">
        <v>254</v>
      </c>
      <c r="D3" s="191" t="s">
        <v>31</v>
      </c>
    </row>
    <row r="4" spans="1:5" ht="58">
      <c r="A4" s="187" t="s">
        <v>1004</v>
      </c>
      <c r="B4" s="187" t="s">
        <v>346</v>
      </c>
      <c r="C4" s="187" t="s">
        <v>1196</v>
      </c>
      <c r="D4" s="187" t="s">
        <v>1003</v>
      </c>
      <c r="E4" s="11"/>
    </row>
    <row r="5" spans="1:5" ht="58">
      <c r="A5" s="187" t="s">
        <v>1005</v>
      </c>
      <c r="B5" s="187" t="s">
        <v>346</v>
      </c>
      <c r="C5" s="187" t="s">
        <v>1196</v>
      </c>
      <c r="D5" s="187" t="s">
        <v>1003</v>
      </c>
      <c r="E5" s="11"/>
    </row>
    <row r="6" spans="1:5" ht="43.5">
      <c r="A6" s="187" t="s">
        <v>1006</v>
      </c>
      <c r="B6" s="187" t="s">
        <v>597</v>
      </c>
      <c r="C6" s="187" t="s">
        <v>1008</v>
      </c>
      <c r="D6" s="187" t="s">
        <v>601</v>
      </c>
      <c r="E6" s="11"/>
    </row>
    <row r="7" spans="1:5" ht="43.5">
      <c r="A7" s="187" t="s">
        <v>1007</v>
      </c>
      <c r="B7" s="187" t="s">
        <v>597</v>
      </c>
      <c r="C7" s="187" t="s">
        <v>1008</v>
      </c>
      <c r="D7" s="187" t="s">
        <v>601</v>
      </c>
      <c r="E7" s="11"/>
    </row>
    <row r="8" spans="1:5" ht="43.5">
      <c r="A8" s="187" t="s">
        <v>1009</v>
      </c>
      <c r="B8" s="187" t="s">
        <v>498</v>
      </c>
      <c r="C8" s="187" t="s">
        <v>1011</v>
      </c>
      <c r="D8" s="187" t="s">
        <v>830</v>
      </c>
      <c r="E8" s="11"/>
    </row>
    <row r="9" spans="1:5" ht="43.5">
      <c r="A9" s="187" t="s">
        <v>1010</v>
      </c>
      <c r="B9" s="187" t="s">
        <v>498</v>
      </c>
      <c r="C9" s="187" t="s">
        <v>1011</v>
      </c>
      <c r="D9" s="187" t="s">
        <v>830</v>
      </c>
      <c r="E9" s="11"/>
    </row>
    <row r="10" spans="1:5" ht="43.5">
      <c r="A10" s="187" t="s">
        <v>1012</v>
      </c>
      <c r="B10" s="187" t="s">
        <v>346</v>
      </c>
      <c r="C10" s="187" t="s">
        <v>726</v>
      </c>
      <c r="D10" s="187" t="s">
        <v>601</v>
      </c>
      <c r="E10" s="11"/>
    </row>
    <row r="11" spans="1:5" ht="43.5">
      <c r="A11" s="187" t="s">
        <v>1013</v>
      </c>
      <c r="B11" s="187" t="s">
        <v>346</v>
      </c>
      <c r="C11" s="187" t="s">
        <v>726</v>
      </c>
      <c r="D11" s="187" t="s">
        <v>601</v>
      </c>
      <c r="E11" s="11"/>
    </row>
    <row r="12" spans="1:5" ht="43.5">
      <c r="A12" s="187" t="s">
        <v>1014</v>
      </c>
      <c r="B12" s="187" t="s">
        <v>346</v>
      </c>
      <c r="C12" s="187" t="s">
        <v>603</v>
      </c>
      <c r="D12" s="187" t="s">
        <v>602</v>
      </c>
      <c r="E12" s="11"/>
    </row>
    <row r="13" spans="1:5" ht="43.5">
      <c r="A13" s="187" t="s">
        <v>1015</v>
      </c>
      <c r="B13" s="187" t="s">
        <v>346</v>
      </c>
      <c r="C13" s="187" t="s">
        <v>603</v>
      </c>
      <c r="D13" s="187" t="s">
        <v>602</v>
      </c>
      <c r="E13" s="11"/>
    </row>
    <row r="14" spans="1:5" ht="43.5">
      <c r="A14" s="187" t="s">
        <v>1016</v>
      </c>
      <c r="B14" s="187" t="s">
        <v>498</v>
      </c>
      <c r="C14" s="187" t="s">
        <v>604</v>
      </c>
      <c r="D14" s="187" t="s">
        <v>830</v>
      </c>
      <c r="E14" s="11"/>
    </row>
    <row r="15" spans="1:5" ht="43.5">
      <c r="A15" s="187" t="s">
        <v>1017</v>
      </c>
      <c r="B15" s="187" t="s">
        <v>498</v>
      </c>
      <c r="C15" s="187" t="s">
        <v>604</v>
      </c>
      <c r="D15" s="187" t="s">
        <v>830</v>
      </c>
      <c r="E15" s="11"/>
    </row>
    <row r="16" spans="1:5">
      <c r="A16" s="187" t="s">
        <v>1018</v>
      </c>
      <c r="B16" s="187" t="s">
        <v>265</v>
      </c>
      <c r="C16" s="187" t="s">
        <v>265</v>
      </c>
      <c r="D16" s="187" t="s">
        <v>350</v>
      </c>
      <c r="E16" s="11"/>
    </row>
    <row r="17" spans="1:5">
      <c r="A17" s="187" t="s">
        <v>1019</v>
      </c>
      <c r="B17" s="187" t="s">
        <v>265</v>
      </c>
      <c r="C17" s="187" t="s">
        <v>265</v>
      </c>
      <c r="D17" s="187" t="s">
        <v>350</v>
      </c>
      <c r="E17" s="11"/>
    </row>
    <row r="18" spans="1:5">
      <c r="A18" s="46"/>
      <c r="B18" s="46"/>
      <c r="C18" s="192"/>
      <c r="D18" s="46"/>
    </row>
    <row r="19" spans="1:5">
      <c r="A19" s="46"/>
      <c r="B19" s="46"/>
      <c r="C19" s="192"/>
      <c r="D19" s="46"/>
    </row>
    <row r="20" spans="1:5">
      <c r="A20" s="46"/>
      <c r="B20" s="46"/>
      <c r="C20" s="192"/>
      <c r="D20" s="46"/>
    </row>
    <row r="21" spans="1:5">
      <c r="A21" s="46"/>
      <c r="B21" s="46"/>
      <c r="C21" s="192"/>
      <c r="D21" s="46"/>
    </row>
    <row r="22" spans="1:5">
      <c r="A22" s="46"/>
      <c r="B22" s="46"/>
      <c r="C22" s="192"/>
      <c r="D22" s="46"/>
    </row>
    <row r="23" spans="1:5">
      <c r="A23" s="46"/>
      <c r="B23" s="46"/>
      <c r="C23" s="192"/>
      <c r="D23" s="46"/>
    </row>
    <row r="24" spans="1:5">
      <c r="A24" s="46"/>
      <c r="B24" s="46"/>
      <c r="C24" s="192"/>
      <c r="D24" s="46"/>
    </row>
    <row r="25" spans="1:5">
      <c r="A25" s="46"/>
      <c r="B25" s="46"/>
      <c r="C25" s="192"/>
      <c r="D25" s="46"/>
    </row>
    <row r="26" spans="1:5">
      <c r="A26" s="46"/>
      <c r="B26" s="46"/>
      <c r="C26" s="192"/>
      <c r="D26" s="46"/>
    </row>
    <row r="27" spans="1:5">
      <c r="A27" s="46"/>
      <c r="B27" s="46"/>
      <c r="C27" s="192"/>
      <c r="D27" s="46"/>
    </row>
    <row r="28" spans="1:5">
      <c r="A28" s="46"/>
      <c r="B28" s="46"/>
      <c r="C28" s="192"/>
      <c r="D28" s="46"/>
    </row>
    <row r="29" spans="1:5">
      <c r="A29" s="46"/>
      <c r="B29" s="46"/>
      <c r="C29" s="192"/>
      <c r="D29" s="46"/>
    </row>
    <row r="30" spans="1:5">
      <c r="A30" s="46"/>
      <c r="B30" s="46"/>
      <c r="C30" s="192"/>
      <c r="D30" s="46"/>
    </row>
    <row r="31" spans="1:5">
      <c r="A31" s="46"/>
      <c r="B31" s="46"/>
      <c r="C31" s="192"/>
      <c r="D31" s="46"/>
    </row>
    <row r="32" spans="1:5">
      <c r="A32" s="46"/>
      <c r="B32" s="46"/>
      <c r="C32" s="192"/>
      <c r="D32" s="46"/>
    </row>
    <row r="33" spans="1:4">
      <c r="A33" s="46"/>
      <c r="B33" s="46"/>
      <c r="C33" s="192"/>
      <c r="D33" s="46"/>
    </row>
    <row r="34" spans="1:4">
      <c r="A34" s="46"/>
      <c r="B34" s="46"/>
      <c r="C34" s="192"/>
      <c r="D34" s="46"/>
    </row>
    <row r="35" spans="1:4">
      <c r="A35" s="46"/>
      <c r="B35" s="46"/>
      <c r="C35" s="192"/>
      <c r="D35" s="46"/>
    </row>
    <row r="36" spans="1:4">
      <c r="A36" s="46"/>
      <c r="B36" s="46"/>
      <c r="C36" s="192"/>
      <c r="D36" s="46"/>
    </row>
    <row r="37" spans="1:4">
      <c r="A37" s="46"/>
      <c r="B37" s="46"/>
      <c r="C37" s="192"/>
      <c r="D37" s="46"/>
    </row>
    <row r="38" spans="1:4">
      <c r="A38" s="46"/>
      <c r="B38" s="46"/>
      <c r="C38" s="192"/>
      <c r="D38" s="46"/>
    </row>
    <row r="39" spans="1:4">
      <c r="A39" s="46"/>
      <c r="B39" s="46"/>
      <c r="C39" s="192"/>
      <c r="D39" s="46"/>
    </row>
    <row r="40" spans="1:4">
      <c r="A40" s="46"/>
      <c r="B40" s="46"/>
      <c r="C40" s="192"/>
      <c r="D40" s="46"/>
    </row>
    <row r="41" spans="1:4">
      <c r="A41" s="46"/>
      <c r="B41" s="46"/>
      <c r="C41" s="192"/>
      <c r="D41" s="46"/>
    </row>
    <row r="42" spans="1:4">
      <c r="A42" s="46"/>
      <c r="B42" s="46"/>
      <c r="C42" s="192"/>
      <c r="D42" s="46"/>
    </row>
    <row r="43" spans="1:4">
      <c r="A43" s="46"/>
      <c r="B43" s="46"/>
      <c r="C43" s="192"/>
      <c r="D43" s="46"/>
    </row>
    <row r="44" spans="1:4">
      <c r="A44" s="46"/>
      <c r="B44" s="46"/>
      <c r="C44" s="192"/>
      <c r="D44" s="46"/>
    </row>
    <row r="45" spans="1:4">
      <c r="A45" s="46"/>
      <c r="B45" s="46"/>
      <c r="C45" s="192"/>
      <c r="D45" s="46"/>
    </row>
    <row r="46" spans="1:4">
      <c r="A46" s="46"/>
      <c r="B46" s="46"/>
      <c r="C46" s="192"/>
      <c r="D46" s="46"/>
    </row>
    <row r="47" spans="1:4">
      <c r="A47" s="46"/>
      <c r="B47" s="46"/>
      <c r="C47" s="192"/>
      <c r="D47" s="46"/>
    </row>
    <row r="48" spans="1:4">
      <c r="A48" s="46"/>
      <c r="B48" s="46"/>
      <c r="C48" s="192"/>
      <c r="D48" s="46"/>
    </row>
    <row r="49" spans="1:4">
      <c r="A49" s="46"/>
      <c r="B49" s="46"/>
      <c r="C49" s="192"/>
      <c r="D49" s="46"/>
    </row>
    <row r="50" spans="1:4">
      <c r="A50" s="46"/>
      <c r="B50" s="46"/>
      <c r="C50" s="192"/>
      <c r="D50" s="46"/>
    </row>
    <row r="51" spans="1:4">
      <c r="A51" s="46"/>
      <c r="B51" s="46"/>
      <c r="C51" s="192"/>
      <c r="D51" s="46"/>
    </row>
    <row r="52" spans="1:4">
      <c r="A52" s="46"/>
      <c r="B52" s="46"/>
      <c r="C52" s="192"/>
      <c r="D52" s="46"/>
    </row>
    <row r="53" spans="1:4">
      <c r="A53" s="46"/>
      <c r="B53" s="46"/>
      <c r="C53" s="192"/>
      <c r="D53" s="46"/>
    </row>
    <row r="54" spans="1:4">
      <c r="A54" s="46"/>
      <c r="B54" s="46"/>
      <c r="C54" s="192"/>
      <c r="D54" s="46"/>
    </row>
    <row r="55" spans="1:4">
      <c r="A55" s="46"/>
      <c r="B55" s="46"/>
      <c r="C55" s="192"/>
      <c r="D55" s="46"/>
    </row>
    <row r="56" spans="1:4">
      <c r="A56" s="46"/>
      <c r="B56" s="46"/>
      <c r="C56" s="192"/>
      <c r="D56" s="46"/>
    </row>
    <row r="57" spans="1:4">
      <c r="A57" s="46"/>
      <c r="B57" s="46"/>
      <c r="C57" s="192"/>
      <c r="D57" s="46"/>
    </row>
    <row r="58" spans="1:4">
      <c r="A58" s="46"/>
      <c r="B58" s="46"/>
      <c r="C58" s="192"/>
      <c r="D58" s="46"/>
    </row>
    <row r="59" spans="1:4">
      <c r="A59" s="46"/>
      <c r="B59" s="46"/>
      <c r="C59" s="192"/>
      <c r="D59" s="46"/>
    </row>
    <row r="60" spans="1:4">
      <c r="A60" s="46"/>
      <c r="B60" s="46"/>
      <c r="C60" s="192"/>
      <c r="D60" s="46"/>
    </row>
    <row r="61" spans="1:4">
      <c r="A61" s="46"/>
      <c r="B61" s="46"/>
      <c r="C61" s="192"/>
      <c r="D61" s="46"/>
    </row>
    <row r="62" spans="1:4">
      <c r="A62" s="46"/>
      <c r="B62" s="46"/>
      <c r="C62" s="192"/>
      <c r="D62" s="46"/>
    </row>
    <row r="63" spans="1:4">
      <c r="A63" s="46"/>
      <c r="B63" s="46"/>
      <c r="C63" s="192"/>
      <c r="D63" s="46"/>
    </row>
    <row r="64" spans="1:4">
      <c r="A64" s="46"/>
      <c r="B64" s="46"/>
      <c r="C64" s="192"/>
      <c r="D64" s="46"/>
    </row>
    <row r="65" spans="1:4">
      <c r="A65" s="46"/>
      <c r="B65" s="46"/>
      <c r="C65" s="192"/>
      <c r="D65" s="46"/>
    </row>
    <row r="66" spans="1:4">
      <c r="A66" s="46"/>
      <c r="B66" s="46"/>
      <c r="C66" s="192"/>
      <c r="D66" s="46"/>
    </row>
    <row r="67" spans="1:4">
      <c r="A67" s="46"/>
      <c r="B67" s="46"/>
      <c r="C67" s="192"/>
      <c r="D67" s="46"/>
    </row>
    <row r="68" spans="1:4">
      <c r="A68" s="46"/>
      <c r="B68" s="46"/>
      <c r="C68" s="192"/>
      <c r="D68" s="46"/>
    </row>
    <row r="69" spans="1:4">
      <c r="A69" s="46"/>
      <c r="B69" s="46"/>
      <c r="C69" s="192"/>
      <c r="D69" s="46"/>
    </row>
    <row r="70" spans="1:4">
      <c r="A70" s="46"/>
      <c r="B70" s="46"/>
      <c r="C70" s="192"/>
      <c r="D70" s="46"/>
    </row>
    <row r="71" spans="1:4">
      <c r="A71" s="46"/>
      <c r="B71" s="46"/>
      <c r="C71" s="192"/>
      <c r="D71" s="46"/>
    </row>
    <row r="72" spans="1:4">
      <c r="A72" s="46"/>
      <c r="B72" s="46"/>
      <c r="C72" s="192"/>
      <c r="D72" s="46"/>
    </row>
    <row r="73" spans="1:4">
      <c r="A73" s="46"/>
      <c r="B73" s="46"/>
      <c r="C73" s="192"/>
      <c r="D73" s="46"/>
    </row>
    <row r="74" spans="1:4">
      <c r="A74" s="46"/>
      <c r="B74" s="46"/>
      <c r="C74" s="192"/>
      <c r="D74" s="46"/>
    </row>
    <row r="75" spans="1:4">
      <c r="A75" s="46"/>
      <c r="B75" s="46"/>
      <c r="C75" s="192"/>
      <c r="D75" s="46"/>
    </row>
    <row r="76" spans="1:4">
      <c r="A76" s="46"/>
      <c r="B76" s="46"/>
      <c r="C76" s="192"/>
      <c r="D76" s="46"/>
    </row>
  </sheetData>
  <sheetProtection selectLockedCells="1" selectUnlockedCells="1"/>
  <phoneticPr fontId="18" type="noConversion"/>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2DAF-F447-42B4-BA99-CCC8242B64BA}">
  <sheetPr codeName="Sheet7"/>
  <dimension ref="A1:K67"/>
  <sheetViews>
    <sheetView zoomScale="70" zoomScaleNormal="70" workbookViewId="0">
      <selection activeCell="D4" sqref="D4"/>
    </sheetView>
  </sheetViews>
  <sheetFormatPr defaultColWidth="8.81640625" defaultRowHeight="18" customHeight="1"/>
  <cols>
    <col min="1" max="1" width="11.1796875" style="4" bestFit="1" customWidth="1"/>
    <col min="2" max="2" width="24.81640625" style="4" bestFit="1" customWidth="1"/>
    <col min="3" max="3" width="19.81640625" style="4" customWidth="1"/>
    <col min="4" max="4" width="13.54296875" style="4" customWidth="1"/>
    <col min="5" max="5" width="12.81640625" style="4" customWidth="1"/>
    <col min="6" max="7" width="8.81640625" style="4"/>
    <col min="8" max="8" width="88.81640625" style="4" bestFit="1" customWidth="1"/>
    <col min="9" max="9" width="255.6328125" style="4" bestFit="1" customWidth="1"/>
    <col min="10" max="10" width="19" style="4" customWidth="1"/>
    <col min="11" max="16384" width="8.81640625" style="4"/>
  </cols>
  <sheetData>
    <row r="1" spans="1:11" ht="18" customHeight="1">
      <c r="A1" s="4" t="s">
        <v>30</v>
      </c>
      <c r="B1" s="196" t="s">
        <v>349</v>
      </c>
      <c r="C1" s="4" t="s">
        <v>254</v>
      </c>
      <c r="D1" s="4" t="s">
        <v>1451</v>
      </c>
      <c r="E1" s="4" t="s">
        <v>261</v>
      </c>
      <c r="H1" s="34" t="s">
        <v>30</v>
      </c>
      <c r="I1" s="35" t="s">
        <v>31</v>
      </c>
      <c r="J1" s="35" t="s">
        <v>254</v>
      </c>
      <c r="K1" s="35" t="s">
        <v>256</v>
      </c>
    </row>
    <row r="2" spans="1:11" ht="409.5">
      <c r="A2" s="197" t="s">
        <v>351</v>
      </c>
      <c r="B2" s="197" t="s">
        <v>1452</v>
      </c>
      <c r="C2" s="198" t="s">
        <v>1453</v>
      </c>
      <c r="D2" s="198" t="s">
        <v>1501</v>
      </c>
      <c r="E2" s="5" t="s">
        <v>352</v>
      </c>
      <c r="H2" s="4" t="s">
        <v>107</v>
      </c>
      <c r="I2" s="5" t="s">
        <v>353</v>
      </c>
      <c r="J2" s="4" t="s">
        <v>266</v>
      </c>
      <c r="K2" s="4" t="s">
        <v>104</v>
      </c>
    </row>
    <row r="3" spans="1:11" ht="409.5">
      <c r="A3" s="197" t="s">
        <v>1454</v>
      </c>
      <c r="B3" s="197" t="s">
        <v>1452</v>
      </c>
      <c r="C3" s="198" t="s">
        <v>1455</v>
      </c>
      <c r="D3" s="198" t="s">
        <v>1501</v>
      </c>
      <c r="E3" s="5" t="s">
        <v>352</v>
      </c>
      <c r="H3" s="4" t="s">
        <v>108</v>
      </c>
      <c r="I3" s="5" t="s">
        <v>354</v>
      </c>
      <c r="J3" s="4" t="s">
        <v>266</v>
      </c>
      <c r="K3" s="4" t="s">
        <v>104</v>
      </c>
    </row>
    <row r="4" spans="1:11" ht="409.5">
      <c r="A4" s="197" t="s">
        <v>355</v>
      </c>
      <c r="B4" s="197" t="s">
        <v>1452</v>
      </c>
      <c r="C4" s="198" t="s">
        <v>1456</v>
      </c>
      <c r="D4" s="198" t="s">
        <v>1501</v>
      </c>
      <c r="E4" s="5" t="s">
        <v>352</v>
      </c>
      <c r="H4" s="4" t="s">
        <v>109</v>
      </c>
      <c r="I4" s="4" t="s">
        <v>356</v>
      </c>
      <c r="J4" s="4" t="s">
        <v>266</v>
      </c>
      <c r="K4" s="4" t="s">
        <v>104</v>
      </c>
    </row>
    <row r="5" spans="1:11" ht="18" customHeight="1">
      <c r="H5" s="4" t="s">
        <v>110</v>
      </c>
      <c r="I5" s="5" t="s">
        <v>357</v>
      </c>
      <c r="J5" s="4" t="s">
        <v>266</v>
      </c>
      <c r="K5" s="4" t="s">
        <v>104</v>
      </c>
    </row>
    <row r="6" spans="1:11" ht="18" customHeight="1">
      <c r="H6" s="4" t="s">
        <v>111</v>
      </c>
      <c r="I6" s="4" t="s">
        <v>358</v>
      </c>
      <c r="J6" s="4" t="s">
        <v>266</v>
      </c>
      <c r="K6" s="4" t="s">
        <v>104</v>
      </c>
    </row>
    <row r="7" spans="1:11" ht="18" customHeight="1">
      <c r="H7" s="4" t="s">
        <v>112</v>
      </c>
      <c r="I7" s="4" t="s">
        <v>359</v>
      </c>
      <c r="J7" s="4" t="s">
        <v>266</v>
      </c>
      <c r="K7" s="4" t="s">
        <v>104</v>
      </c>
    </row>
    <row r="8" spans="1:11" ht="18" customHeight="1">
      <c r="B8" s="8"/>
      <c r="H8" s="4" t="s">
        <v>113</v>
      </c>
      <c r="I8" s="4" t="s">
        <v>360</v>
      </c>
      <c r="J8" s="4" t="s">
        <v>266</v>
      </c>
      <c r="K8" s="4" t="s">
        <v>104</v>
      </c>
    </row>
    <row r="9" spans="1:11" ht="18" customHeight="1">
      <c r="B9" s="5"/>
      <c r="H9" s="4" t="s">
        <v>114</v>
      </c>
      <c r="I9" s="4" t="s">
        <v>361</v>
      </c>
      <c r="J9" s="4" t="s">
        <v>266</v>
      </c>
      <c r="K9" s="4" t="s">
        <v>104</v>
      </c>
    </row>
    <row r="10" spans="1:11" ht="18" customHeight="1">
      <c r="B10" s="5"/>
      <c r="H10" s="4" t="s">
        <v>115</v>
      </c>
      <c r="I10" s="4" t="s">
        <v>362</v>
      </c>
      <c r="J10" s="4" t="s">
        <v>266</v>
      </c>
      <c r="K10" s="4" t="s">
        <v>104</v>
      </c>
    </row>
    <row r="11" spans="1:11" ht="18" customHeight="1">
      <c r="B11" s="5"/>
      <c r="H11" s="4" t="s">
        <v>116</v>
      </c>
      <c r="I11" s="4" t="s">
        <v>363</v>
      </c>
      <c r="J11" s="4" t="s">
        <v>266</v>
      </c>
      <c r="K11" s="4" t="s">
        <v>104</v>
      </c>
    </row>
    <row r="12" spans="1:11" ht="18" customHeight="1">
      <c r="H12" s="4" t="s">
        <v>117</v>
      </c>
      <c r="I12" s="4" t="s">
        <v>364</v>
      </c>
      <c r="J12" s="4" t="s">
        <v>266</v>
      </c>
      <c r="K12" s="4" t="s">
        <v>104</v>
      </c>
    </row>
    <row r="13" spans="1:11" ht="18" customHeight="1">
      <c r="H13" s="4" t="s">
        <v>118</v>
      </c>
      <c r="I13" s="5" t="s">
        <v>365</v>
      </c>
      <c r="J13" s="4" t="s">
        <v>266</v>
      </c>
      <c r="K13" s="4" t="s">
        <v>104</v>
      </c>
    </row>
    <row r="14" spans="1:11" ht="18" customHeight="1">
      <c r="H14" s="4" t="s">
        <v>119</v>
      </c>
      <c r="I14" s="4" t="s">
        <v>366</v>
      </c>
      <c r="J14" s="4" t="s">
        <v>266</v>
      </c>
      <c r="K14" s="4" t="s">
        <v>104</v>
      </c>
    </row>
    <row r="15" spans="1:11" ht="18" customHeight="1">
      <c r="H15" s="4" t="s">
        <v>120</v>
      </c>
      <c r="I15" s="4" t="s">
        <v>367</v>
      </c>
      <c r="J15" s="4" t="s">
        <v>266</v>
      </c>
      <c r="K15" s="4" t="s">
        <v>104</v>
      </c>
    </row>
    <row r="16" spans="1:11" ht="18" customHeight="1">
      <c r="H16" s="4" t="s">
        <v>121</v>
      </c>
      <c r="I16" s="4" t="s">
        <v>368</v>
      </c>
      <c r="J16" s="4" t="s">
        <v>266</v>
      </c>
      <c r="K16" s="4" t="s">
        <v>104</v>
      </c>
    </row>
    <row r="17" spans="8:11" ht="18" customHeight="1">
      <c r="H17" s="4" t="s">
        <v>122</v>
      </c>
      <c r="I17" s="4" t="s">
        <v>369</v>
      </c>
      <c r="J17" s="4" t="s">
        <v>266</v>
      </c>
      <c r="K17" s="4" t="s">
        <v>104</v>
      </c>
    </row>
    <row r="18" spans="8:11" ht="18" customHeight="1">
      <c r="H18" s="4" t="s">
        <v>110</v>
      </c>
      <c r="I18" s="5" t="s">
        <v>357</v>
      </c>
      <c r="J18" s="4" t="s">
        <v>266</v>
      </c>
      <c r="K18" s="4" t="s">
        <v>104</v>
      </c>
    </row>
    <row r="19" spans="8:11" ht="18" customHeight="1">
      <c r="H19" s="4" t="s">
        <v>123</v>
      </c>
      <c r="I19" s="4" t="s">
        <v>370</v>
      </c>
      <c r="J19" s="4" t="s">
        <v>266</v>
      </c>
      <c r="K19" s="4" t="s">
        <v>104</v>
      </c>
    </row>
    <row r="20" spans="8:11" ht="18" customHeight="1">
      <c r="H20" s="4" t="s">
        <v>124</v>
      </c>
      <c r="I20" s="4" t="s">
        <v>371</v>
      </c>
      <c r="J20" s="4" t="s">
        <v>266</v>
      </c>
      <c r="K20" s="4" t="s">
        <v>104</v>
      </c>
    </row>
    <row r="21" spans="8:11" ht="18" customHeight="1">
      <c r="H21" s="4" t="s">
        <v>125</v>
      </c>
      <c r="I21" s="4" t="s">
        <v>372</v>
      </c>
      <c r="J21" s="4" t="s">
        <v>266</v>
      </c>
      <c r="K21" s="4" t="s">
        <v>104</v>
      </c>
    </row>
    <row r="22" spans="8:11" ht="18" customHeight="1">
      <c r="H22" s="4" t="s">
        <v>115</v>
      </c>
      <c r="I22" s="4" t="s">
        <v>362</v>
      </c>
      <c r="J22" s="4" t="s">
        <v>266</v>
      </c>
      <c r="K22" s="4" t="s">
        <v>104</v>
      </c>
    </row>
    <row r="23" spans="8:11" ht="18" customHeight="1">
      <c r="H23" s="4" t="s">
        <v>114</v>
      </c>
      <c r="I23" s="4" t="s">
        <v>361</v>
      </c>
      <c r="J23" s="4" t="s">
        <v>266</v>
      </c>
      <c r="K23" s="4" t="s">
        <v>104</v>
      </c>
    </row>
    <row r="24" spans="8:11" ht="18" customHeight="1">
      <c r="H24" s="4" t="s">
        <v>126</v>
      </c>
      <c r="I24" s="4" t="s">
        <v>373</v>
      </c>
      <c r="J24" s="4" t="s">
        <v>266</v>
      </c>
      <c r="K24" s="4" t="s">
        <v>104</v>
      </c>
    </row>
    <row r="25" spans="8:11" ht="18" customHeight="1">
      <c r="H25" s="4" t="s">
        <v>127</v>
      </c>
      <c r="I25" s="4" t="s">
        <v>374</v>
      </c>
      <c r="J25" s="4" t="s">
        <v>266</v>
      </c>
      <c r="K25" s="4" t="s">
        <v>104</v>
      </c>
    </row>
    <row r="26" spans="8:11" ht="18" customHeight="1">
      <c r="H26" s="4" t="s">
        <v>128</v>
      </c>
      <c r="I26" s="4" t="s">
        <v>375</v>
      </c>
      <c r="J26" s="4" t="s">
        <v>266</v>
      </c>
      <c r="K26" s="4" t="s">
        <v>104</v>
      </c>
    </row>
    <row r="27" spans="8:11" ht="18" customHeight="1">
      <c r="H27" s="4" t="s">
        <v>129</v>
      </c>
      <c r="I27" s="4" t="s">
        <v>376</v>
      </c>
      <c r="J27" s="4" t="s">
        <v>266</v>
      </c>
      <c r="K27" s="4" t="s">
        <v>104</v>
      </c>
    </row>
    <row r="28" spans="8:11" ht="18" customHeight="1">
      <c r="H28" s="4" t="s">
        <v>130</v>
      </c>
      <c r="I28" s="4" t="s">
        <v>377</v>
      </c>
      <c r="J28" s="4" t="s">
        <v>266</v>
      </c>
      <c r="K28" s="4" t="s">
        <v>105</v>
      </c>
    </row>
    <row r="29" spans="8:11" ht="18" customHeight="1">
      <c r="H29" s="4" t="s">
        <v>131</v>
      </c>
      <c r="I29" s="4" t="s">
        <v>378</v>
      </c>
      <c r="J29" s="4" t="s">
        <v>266</v>
      </c>
      <c r="K29" s="4" t="s">
        <v>105</v>
      </c>
    </row>
    <row r="30" spans="8:11" ht="18" customHeight="1">
      <c r="H30" s="4" t="s">
        <v>132</v>
      </c>
      <c r="I30" s="4" t="s">
        <v>379</v>
      </c>
      <c r="J30" s="4" t="s">
        <v>266</v>
      </c>
      <c r="K30" s="4" t="s">
        <v>105</v>
      </c>
    </row>
    <row r="31" spans="8:11" ht="18" customHeight="1">
      <c r="H31" s="4" t="s">
        <v>133</v>
      </c>
      <c r="I31" s="5" t="s">
        <v>380</v>
      </c>
      <c r="J31" s="4" t="s">
        <v>266</v>
      </c>
      <c r="K31" s="4" t="s">
        <v>105</v>
      </c>
    </row>
    <row r="32" spans="8:11" ht="18" customHeight="1">
      <c r="H32" s="4" t="s">
        <v>134</v>
      </c>
      <c r="I32" s="5" t="s">
        <v>381</v>
      </c>
      <c r="J32" s="4" t="s">
        <v>266</v>
      </c>
      <c r="K32" s="4" t="s">
        <v>105</v>
      </c>
    </row>
    <row r="33" spans="8:11" ht="18" customHeight="1">
      <c r="H33" s="4" t="s">
        <v>135</v>
      </c>
      <c r="I33" s="4" t="s">
        <v>382</v>
      </c>
      <c r="J33" s="4" t="s">
        <v>266</v>
      </c>
      <c r="K33" s="4" t="s">
        <v>105</v>
      </c>
    </row>
    <row r="34" spans="8:11" ht="18" customHeight="1">
      <c r="H34" s="4" t="s">
        <v>110</v>
      </c>
      <c r="I34" s="4" t="s">
        <v>383</v>
      </c>
      <c r="J34" s="4" t="s">
        <v>266</v>
      </c>
      <c r="K34" s="4" t="s">
        <v>105</v>
      </c>
    </row>
    <row r="35" spans="8:11" ht="18" customHeight="1">
      <c r="H35" s="4" t="s">
        <v>136</v>
      </c>
      <c r="I35" s="4" t="s">
        <v>384</v>
      </c>
      <c r="J35" s="4" t="s">
        <v>266</v>
      </c>
      <c r="K35" s="4" t="s">
        <v>105</v>
      </c>
    </row>
    <row r="36" spans="8:11" ht="18" customHeight="1">
      <c r="H36" s="4" t="s">
        <v>137</v>
      </c>
      <c r="I36" s="4" t="s">
        <v>385</v>
      </c>
      <c r="J36" s="4" t="s">
        <v>266</v>
      </c>
      <c r="K36" s="4" t="s">
        <v>105</v>
      </c>
    </row>
    <row r="37" spans="8:11" ht="18" customHeight="1">
      <c r="H37" s="4" t="s">
        <v>138</v>
      </c>
      <c r="I37" s="4" t="s">
        <v>386</v>
      </c>
      <c r="J37" s="4" t="s">
        <v>266</v>
      </c>
      <c r="K37" s="4" t="s">
        <v>105</v>
      </c>
    </row>
    <row r="38" spans="8:11" ht="18" customHeight="1">
      <c r="H38" s="4" t="s">
        <v>139</v>
      </c>
      <c r="I38" s="4" t="s">
        <v>387</v>
      </c>
      <c r="J38" s="4" t="s">
        <v>266</v>
      </c>
      <c r="K38" s="4" t="s">
        <v>105</v>
      </c>
    </row>
    <row r="39" spans="8:11" ht="18" customHeight="1">
      <c r="H39" s="4" t="s">
        <v>140</v>
      </c>
      <c r="I39" s="4" t="s">
        <v>388</v>
      </c>
      <c r="J39" s="4" t="s">
        <v>266</v>
      </c>
      <c r="K39" s="4" t="s">
        <v>105</v>
      </c>
    </row>
    <row r="40" spans="8:11" ht="18" customHeight="1">
      <c r="H40" s="4" t="s">
        <v>141</v>
      </c>
      <c r="I40" s="4" t="s">
        <v>389</v>
      </c>
      <c r="J40" s="4" t="s">
        <v>266</v>
      </c>
      <c r="K40" s="4" t="s">
        <v>105</v>
      </c>
    </row>
    <row r="41" spans="8:11" ht="18" customHeight="1">
      <c r="H41" s="4" t="s">
        <v>142</v>
      </c>
      <c r="I41" s="4" t="s">
        <v>390</v>
      </c>
      <c r="J41" s="4" t="s">
        <v>266</v>
      </c>
      <c r="K41" s="4" t="s">
        <v>105</v>
      </c>
    </row>
    <row r="42" spans="8:11" ht="18" customHeight="1">
      <c r="H42" s="4" t="s">
        <v>143</v>
      </c>
      <c r="I42" s="4" t="s">
        <v>391</v>
      </c>
      <c r="J42" s="4" t="s">
        <v>266</v>
      </c>
      <c r="K42" s="4" t="s">
        <v>105</v>
      </c>
    </row>
    <row r="43" spans="8:11" ht="18" customHeight="1">
      <c r="H43" s="4" t="s">
        <v>144</v>
      </c>
      <c r="I43" s="4" t="s">
        <v>392</v>
      </c>
      <c r="J43" s="4" t="s">
        <v>266</v>
      </c>
      <c r="K43" s="4" t="s">
        <v>105</v>
      </c>
    </row>
    <row r="44" spans="8:11" ht="18" customHeight="1">
      <c r="H44" s="4" t="s">
        <v>145</v>
      </c>
      <c r="I44" s="4" t="s">
        <v>393</v>
      </c>
      <c r="J44" s="4" t="s">
        <v>266</v>
      </c>
      <c r="K44" s="4" t="s">
        <v>105</v>
      </c>
    </row>
    <row r="45" spans="8:11" ht="18" customHeight="1">
      <c r="H45" s="4" t="s">
        <v>146</v>
      </c>
      <c r="I45" s="4" t="s">
        <v>394</v>
      </c>
      <c r="J45" s="4" t="s">
        <v>266</v>
      </c>
      <c r="K45" s="4" t="s">
        <v>105</v>
      </c>
    </row>
    <row r="46" spans="8:11" ht="18" customHeight="1">
      <c r="H46" s="4" t="s">
        <v>147</v>
      </c>
      <c r="I46" s="4" t="s">
        <v>395</v>
      </c>
      <c r="J46" s="4" t="s">
        <v>266</v>
      </c>
      <c r="K46" s="4" t="s">
        <v>105</v>
      </c>
    </row>
    <row r="47" spans="8:11" ht="18" customHeight="1">
      <c r="H47" s="4" t="s">
        <v>148</v>
      </c>
      <c r="I47" s="5" t="s">
        <v>392</v>
      </c>
      <c r="J47" s="4" t="s">
        <v>266</v>
      </c>
      <c r="K47" s="4" t="s">
        <v>105</v>
      </c>
    </row>
    <row r="48" spans="8:11" ht="18" customHeight="1">
      <c r="H48" s="4" t="s">
        <v>149</v>
      </c>
      <c r="I48" s="4" t="s">
        <v>393</v>
      </c>
      <c r="J48" s="4" t="s">
        <v>266</v>
      </c>
      <c r="K48" s="4" t="s">
        <v>105</v>
      </c>
    </row>
    <row r="49" spans="8:11" ht="18" customHeight="1">
      <c r="H49" s="4" t="s">
        <v>150</v>
      </c>
      <c r="I49" s="4" t="s">
        <v>396</v>
      </c>
      <c r="J49" s="4" t="s">
        <v>266</v>
      </c>
      <c r="K49" s="4" t="s">
        <v>105</v>
      </c>
    </row>
    <row r="50" spans="8:11" ht="18" customHeight="1">
      <c r="H50" s="4" t="s">
        <v>151</v>
      </c>
      <c r="I50" s="4" t="s">
        <v>397</v>
      </c>
      <c r="J50" s="4" t="s">
        <v>266</v>
      </c>
      <c r="K50" s="4" t="s">
        <v>105</v>
      </c>
    </row>
    <row r="51" spans="8:11" ht="18" customHeight="1">
      <c r="H51" s="4" t="s">
        <v>152</v>
      </c>
      <c r="I51" s="4" t="s">
        <v>393</v>
      </c>
      <c r="J51" s="4" t="s">
        <v>266</v>
      </c>
      <c r="K51" s="4" t="s">
        <v>105</v>
      </c>
    </row>
    <row r="52" spans="8:11" ht="18" customHeight="1">
      <c r="H52" s="4" t="s">
        <v>153</v>
      </c>
      <c r="I52" s="4" t="s">
        <v>392</v>
      </c>
      <c r="J52" s="4" t="s">
        <v>266</v>
      </c>
      <c r="K52" s="4" t="s">
        <v>105</v>
      </c>
    </row>
    <row r="53" spans="8:11" ht="18" customHeight="1">
      <c r="H53" s="4" t="s">
        <v>154</v>
      </c>
      <c r="I53" s="4" t="s">
        <v>398</v>
      </c>
      <c r="J53" s="4" t="s">
        <v>266</v>
      </c>
      <c r="K53" s="4" t="s">
        <v>105</v>
      </c>
    </row>
    <row r="54" spans="8:11" ht="18" customHeight="1">
      <c r="H54" s="4" t="s">
        <v>155</v>
      </c>
      <c r="I54" s="4" t="s">
        <v>393</v>
      </c>
      <c r="J54" s="4" t="s">
        <v>266</v>
      </c>
      <c r="K54" s="4" t="s">
        <v>105</v>
      </c>
    </row>
    <row r="55" spans="8:11" ht="18" customHeight="1">
      <c r="H55" s="4" t="s">
        <v>156</v>
      </c>
      <c r="I55" s="4" t="s">
        <v>399</v>
      </c>
      <c r="J55" s="4" t="s">
        <v>266</v>
      </c>
      <c r="K55" s="4" t="s">
        <v>105</v>
      </c>
    </row>
    <row r="56" spans="8:11" ht="18" customHeight="1">
      <c r="H56" s="4" t="s">
        <v>157</v>
      </c>
      <c r="I56" s="4" t="s">
        <v>393</v>
      </c>
      <c r="J56" s="4" t="s">
        <v>266</v>
      </c>
      <c r="K56" s="4" t="s">
        <v>105</v>
      </c>
    </row>
    <row r="57" spans="8:11" ht="18" customHeight="1">
      <c r="H57" s="4" t="s">
        <v>158</v>
      </c>
      <c r="I57" s="4" t="s">
        <v>392</v>
      </c>
      <c r="J57" s="4" t="s">
        <v>266</v>
      </c>
      <c r="K57" s="4" t="s">
        <v>105</v>
      </c>
    </row>
    <row r="58" spans="8:11" ht="18" customHeight="1">
      <c r="H58" s="4" t="s">
        <v>159</v>
      </c>
      <c r="I58" s="4" t="s">
        <v>393</v>
      </c>
      <c r="J58" s="4" t="s">
        <v>266</v>
      </c>
      <c r="K58" s="4" t="s">
        <v>105</v>
      </c>
    </row>
    <row r="59" spans="8:11" ht="18" customHeight="1">
      <c r="H59" s="4" t="s">
        <v>160</v>
      </c>
      <c r="I59" s="4" t="s">
        <v>400</v>
      </c>
      <c r="J59" s="4" t="s">
        <v>266</v>
      </c>
      <c r="K59" s="4" t="s">
        <v>105</v>
      </c>
    </row>
    <row r="60" spans="8:11" ht="18" customHeight="1">
      <c r="H60" s="4" t="s">
        <v>161</v>
      </c>
      <c r="I60" s="4" t="s">
        <v>395</v>
      </c>
      <c r="J60" s="4" t="s">
        <v>266</v>
      </c>
      <c r="K60" s="4" t="s">
        <v>105</v>
      </c>
    </row>
    <row r="61" spans="8:11" ht="18" customHeight="1">
      <c r="H61" s="4" t="s">
        <v>162</v>
      </c>
      <c r="I61" s="4" t="s">
        <v>401</v>
      </c>
      <c r="J61" s="4" t="s">
        <v>266</v>
      </c>
      <c r="K61" s="4" t="s">
        <v>105</v>
      </c>
    </row>
    <row r="62" spans="8:11" ht="18" customHeight="1">
      <c r="H62" s="4" t="s">
        <v>163</v>
      </c>
      <c r="I62" s="4" t="s">
        <v>392</v>
      </c>
      <c r="J62" s="4" t="s">
        <v>266</v>
      </c>
      <c r="K62" s="4" t="s">
        <v>105</v>
      </c>
    </row>
    <row r="63" spans="8:11" ht="18" customHeight="1">
      <c r="H63" s="4" t="s">
        <v>164</v>
      </c>
      <c r="I63" s="4" t="s">
        <v>393</v>
      </c>
      <c r="J63" s="4" t="s">
        <v>266</v>
      </c>
      <c r="K63" s="4" t="s">
        <v>105</v>
      </c>
    </row>
    <row r="64" spans="8:11" ht="18" customHeight="1">
      <c r="H64" s="4" t="s">
        <v>165</v>
      </c>
      <c r="I64" s="5" t="s">
        <v>402</v>
      </c>
      <c r="J64" s="4" t="s">
        <v>266</v>
      </c>
      <c r="K64" s="4" t="s">
        <v>105</v>
      </c>
    </row>
    <row r="65" spans="8:11" ht="18" customHeight="1">
      <c r="H65" s="4" t="s">
        <v>127</v>
      </c>
      <c r="I65" s="4" t="s">
        <v>403</v>
      </c>
      <c r="J65" s="4" t="s">
        <v>266</v>
      </c>
      <c r="K65" s="4" t="s">
        <v>105</v>
      </c>
    </row>
    <row r="66" spans="8:11" ht="18" customHeight="1">
      <c r="H66" s="4" t="s">
        <v>128</v>
      </c>
      <c r="I66" s="4" t="s">
        <v>403</v>
      </c>
      <c r="J66" s="4" t="s">
        <v>266</v>
      </c>
      <c r="K66" s="4" t="s">
        <v>105</v>
      </c>
    </row>
    <row r="67" spans="8:11" ht="18" customHeight="1">
      <c r="H67" s="4" t="s">
        <v>166</v>
      </c>
      <c r="I67" s="4" t="s">
        <v>404</v>
      </c>
      <c r="J67" s="4" t="s">
        <v>266</v>
      </c>
      <c r="K67" s="4" t="s">
        <v>105</v>
      </c>
    </row>
  </sheetData>
  <sheetProtection selectLockedCells="1" selectUnlockedCells="1"/>
  <phoneticPr fontId="18" type="noConversion"/>
  <pageMargins left="0.7" right="0.7" top="0.75" bottom="0.75" header="0.3" footer="0.3"/>
  <pageSetup orientation="portrait" r:id="rId1"/>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F07C-7225-4077-B143-9EECFA7D614F}">
  <sheetPr codeName="Sheet12"/>
  <dimension ref="A1:D31"/>
  <sheetViews>
    <sheetView zoomScaleNormal="100" workbookViewId="0">
      <selection activeCell="B14" sqref="B14"/>
    </sheetView>
  </sheetViews>
  <sheetFormatPr defaultColWidth="26.453125" defaultRowHeight="18" customHeight="1"/>
  <cols>
    <col min="1" max="1" width="26.453125" style="4"/>
    <col min="2" max="2" width="58.81640625" style="4" customWidth="1"/>
    <col min="3" max="3" width="78.81640625" style="4" customWidth="1"/>
    <col min="4" max="16384" width="26.453125" style="4"/>
  </cols>
  <sheetData>
    <row r="1" spans="1:4" ht="18" customHeight="1">
      <c r="A1" s="80" t="s">
        <v>106</v>
      </c>
    </row>
    <row r="2" spans="1:4" ht="18" customHeight="1">
      <c r="A2" s="4" t="s">
        <v>30</v>
      </c>
      <c r="B2" s="4" t="s">
        <v>31</v>
      </c>
      <c r="C2" s="4" t="s">
        <v>254</v>
      </c>
      <c r="D2" s="4" t="s">
        <v>256</v>
      </c>
    </row>
    <row r="3" spans="1:4" ht="18" customHeight="1">
      <c r="A3" s="4" t="s">
        <v>107</v>
      </c>
      <c r="B3" s="5" t="s">
        <v>1048</v>
      </c>
      <c r="C3" s="4" t="s">
        <v>891</v>
      </c>
      <c r="D3" s="4" t="s">
        <v>104</v>
      </c>
    </row>
    <row r="4" spans="1:4" ht="18" customHeight="1">
      <c r="A4" s="4" t="s">
        <v>108</v>
      </c>
      <c r="B4" s="5" t="s">
        <v>1049</v>
      </c>
      <c r="C4" s="4" t="s">
        <v>891</v>
      </c>
      <c r="D4" s="4" t="s">
        <v>104</v>
      </c>
    </row>
    <row r="5" spans="1:4" ht="18" customHeight="1">
      <c r="A5" s="4" t="s">
        <v>109</v>
      </c>
      <c r="B5" s="5" t="s">
        <v>1050</v>
      </c>
      <c r="C5" s="4" t="s">
        <v>891</v>
      </c>
      <c r="D5" s="4" t="s">
        <v>104</v>
      </c>
    </row>
    <row r="6" spans="1:4" ht="18" customHeight="1">
      <c r="A6" s="4" t="s">
        <v>110</v>
      </c>
      <c r="B6" s="5" t="s">
        <v>1051</v>
      </c>
      <c r="C6" s="4" t="s">
        <v>891</v>
      </c>
      <c r="D6" s="4" t="s">
        <v>104</v>
      </c>
    </row>
    <row r="7" spans="1:4" ht="18" customHeight="1">
      <c r="A7" s="4" t="s">
        <v>610</v>
      </c>
      <c r="B7" s="5" t="s">
        <v>1052</v>
      </c>
      <c r="C7" s="4" t="s">
        <v>891</v>
      </c>
      <c r="D7" s="4" t="s">
        <v>104</v>
      </c>
    </row>
    <row r="8" spans="1:4" ht="18" customHeight="1">
      <c r="A8" s="4" t="s">
        <v>112</v>
      </c>
      <c r="B8" s="5" t="s">
        <v>1053</v>
      </c>
      <c r="C8" s="4" t="s">
        <v>891</v>
      </c>
      <c r="D8" s="4" t="s">
        <v>104</v>
      </c>
    </row>
    <row r="9" spans="1:4" ht="18" customHeight="1">
      <c r="A9" s="4" t="s">
        <v>113</v>
      </c>
      <c r="B9" s="5" t="s">
        <v>1053</v>
      </c>
      <c r="C9" s="4" t="s">
        <v>891</v>
      </c>
      <c r="D9" s="4" t="s">
        <v>104</v>
      </c>
    </row>
    <row r="10" spans="1:4" ht="18" customHeight="1">
      <c r="A10" s="4" t="s">
        <v>114</v>
      </c>
      <c r="B10" s="5" t="s">
        <v>1054</v>
      </c>
      <c r="C10" s="4" t="s">
        <v>891</v>
      </c>
      <c r="D10" s="4" t="s">
        <v>104</v>
      </c>
    </row>
    <row r="11" spans="1:4" ht="18" customHeight="1">
      <c r="A11" s="4" t="s">
        <v>115</v>
      </c>
      <c r="B11" s="5" t="s">
        <v>1055</v>
      </c>
      <c r="C11" s="4" t="s">
        <v>891</v>
      </c>
      <c r="D11" s="4" t="s">
        <v>104</v>
      </c>
    </row>
    <row r="12" spans="1:4" ht="18" customHeight="1">
      <c r="A12" s="4" t="s">
        <v>117</v>
      </c>
      <c r="B12" s="5" t="s">
        <v>1056</v>
      </c>
      <c r="C12" s="4" t="s">
        <v>891</v>
      </c>
      <c r="D12" s="4" t="s">
        <v>104</v>
      </c>
    </row>
    <row r="13" spans="1:4" ht="18" customHeight="1">
      <c r="A13" s="5" t="s">
        <v>612</v>
      </c>
      <c r="B13" s="5" t="s">
        <v>611</v>
      </c>
      <c r="C13" s="4" t="s">
        <v>891</v>
      </c>
      <c r="D13" s="4" t="s">
        <v>104</v>
      </c>
    </row>
    <row r="14" spans="1:4" ht="18" customHeight="1">
      <c r="A14" s="5" t="s">
        <v>892</v>
      </c>
      <c r="B14" s="5" t="s">
        <v>1057</v>
      </c>
      <c r="C14" s="4" t="s">
        <v>891</v>
      </c>
      <c r="D14" s="4" t="s">
        <v>104</v>
      </c>
    </row>
    <row r="15" spans="1:4" ht="18" customHeight="1">
      <c r="A15" s="5"/>
      <c r="B15" s="5"/>
    </row>
    <row r="16" spans="1:4" ht="18" customHeight="1">
      <c r="A16" s="80" t="s">
        <v>893</v>
      </c>
    </row>
    <row r="17" spans="1:4" ht="18" customHeight="1">
      <c r="A17" s="4" t="s">
        <v>30</v>
      </c>
      <c r="B17" s="4" t="s">
        <v>31</v>
      </c>
      <c r="C17" s="4" t="s">
        <v>254</v>
      </c>
      <c r="D17" s="4" t="s">
        <v>256</v>
      </c>
    </row>
    <row r="18" spans="1:4" ht="18" customHeight="1">
      <c r="A18" s="175" t="s">
        <v>119</v>
      </c>
      <c r="B18" s="176" t="s">
        <v>894</v>
      </c>
      <c r="C18" s="177" t="s">
        <v>891</v>
      </c>
      <c r="D18" s="178" t="s">
        <v>104</v>
      </c>
    </row>
    <row r="19" spans="1:4" ht="18" customHeight="1">
      <c r="A19" s="179" t="s">
        <v>120</v>
      </c>
      <c r="B19" s="180" t="s">
        <v>613</v>
      </c>
      <c r="C19" s="181" t="s">
        <v>891</v>
      </c>
      <c r="D19" s="182" t="s">
        <v>104</v>
      </c>
    </row>
    <row r="20" spans="1:4" ht="18" customHeight="1">
      <c r="A20" s="183" t="s">
        <v>121</v>
      </c>
      <c r="B20" s="176" t="s">
        <v>368</v>
      </c>
      <c r="C20" s="177" t="s">
        <v>891</v>
      </c>
      <c r="D20" s="178" t="s">
        <v>104</v>
      </c>
    </row>
    <row r="21" spans="1:4" ht="18" customHeight="1">
      <c r="A21" s="179" t="s">
        <v>122</v>
      </c>
      <c r="B21" s="180" t="s">
        <v>614</v>
      </c>
      <c r="C21" s="181" t="s">
        <v>891</v>
      </c>
      <c r="D21" s="182" t="s">
        <v>104</v>
      </c>
    </row>
    <row r="22" spans="1:4" ht="18" customHeight="1">
      <c r="A22" s="183" t="s">
        <v>110</v>
      </c>
      <c r="B22" s="176" t="s">
        <v>615</v>
      </c>
      <c r="C22" s="177" t="s">
        <v>891</v>
      </c>
      <c r="D22" s="178" t="s">
        <v>104</v>
      </c>
    </row>
    <row r="23" spans="1:4" ht="18" customHeight="1">
      <c r="A23" s="179" t="s">
        <v>123</v>
      </c>
      <c r="B23" s="180" t="s">
        <v>616</v>
      </c>
      <c r="C23" s="181" t="s">
        <v>891</v>
      </c>
      <c r="D23" s="182" t="s">
        <v>104</v>
      </c>
    </row>
    <row r="24" spans="1:4" ht="18" customHeight="1">
      <c r="A24" s="183" t="s">
        <v>124</v>
      </c>
      <c r="B24" s="176" t="s">
        <v>617</v>
      </c>
      <c r="C24" s="177" t="s">
        <v>891</v>
      </c>
      <c r="D24" s="178" t="s">
        <v>104</v>
      </c>
    </row>
    <row r="25" spans="1:4" ht="18" customHeight="1">
      <c r="A25" s="179" t="s">
        <v>618</v>
      </c>
      <c r="B25" s="180" t="s">
        <v>372</v>
      </c>
      <c r="C25" s="181" t="s">
        <v>891</v>
      </c>
      <c r="D25" s="182" t="s">
        <v>104</v>
      </c>
    </row>
    <row r="26" spans="1:4" ht="18" customHeight="1">
      <c r="A26" s="183" t="s">
        <v>115</v>
      </c>
      <c r="B26" s="176" t="s">
        <v>895</v>
      </c>
      <c r="C26" s="177" t="s">
        <v>891</v>
      </c>
      <c r="D26" s="178" t="s">
        <v>104</v>
      </c>
    </row>
    <row r="27" spans="1:4" ht="18" customHeight="1">
      <c r="A27" s="179" t="s">
        <v>114</v>
      </c>
      <c r="B27" s="180" t="s">
        <v>619</v>
      </c>
      <c r="C27" s="181" t="s">
        <v>891</v>
      </c>
      <c r="D27" s="182" t="s">
        <v>104</v>
      </c>
    </row>
    <row r="28" spans="1:4" ht="18" customHeight="1">
      <c r="A28" s="183" t="s">
        <v>126</v>
      </c>
      <c r="B28" s="176" t="s">
        <v>620</v>
      </c>
      <c r="C28" s="177" t="s">
        <v>891</v>
      </c>
      <c r="D28" s="178" t="s">
        <v>104</v>
      </c>
    </row>
    <row r="29" spans="1:4" ht="18" customHeight="1">
      <c r="A29" s="179" t="s">
        <v>127</v>
      </c>
      <c r="B29" s="180" t="s">
        <v>896</v>
      </c>
      <c r="C29" s="181" t="s">
        <v>891</v>
      </c>
      <c r="D29" s="182" t="s">
        <v>104</v>
      </c>
    </row>
    <row r="30" spans="1:4" ht="18" customHeight="1">
      <c r="A30" s="183" t="s">
        <v>128</v>
      </c>
      <c r="B30" s="176" t="s">
        <v>621</v>
      </c>
      <c r="C30" s="177" t="s">
        <v>891</v>
      </c>
      <c r="D30" s="178" t="s">
        <v>104</v>
      </c>
    </row>
    <row r="31" spans="1:4" ht="18" customHeight="1">
      <c r="A31" s="179" t="s">
        <v>117</v>
      </c>
      <c r="B31" s="180" t="s">
        <v>622</v>
      </c>
      <c r="C31" s="181" t="s">
        <v>891</v>
      </c>
      <c r="D31" s="182" t="s">
        <v>104</v>
      </c>
    </row>
  </sheetData>
  <sheetProtection selectLockedCells="1" selectUnlockedCells="1"/>
  <phoneticPr fontId="18" type="noConversion"/>
  <pageMargins left="0.7" right="0.7" top="0.75" bottom="0.75" header="0.3" footer="0.3"/>
  <pageSetup orientation="portrait"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4728F-64E8-4B64-8F90-1D491635EEA8}">
  <sheetPr codeName="Sheet23"/>
  <dimension ref="A1:D29"/>
  <sheetViews>
    <sheetView zoomScaleNormal="100" workbookViewId="0">
      <selection activeCell="D49" sqref="D49"/>
    </sheetView>
  </sheetViews>
  <sheetFormatPr defaultColWidth="26.453125" defaultRowHeight="18" customHeight="1"/>
  <cols>
    <col min="1" max="1" width="26.453125" style="4"/>
    <col min="2" max="2" width="58.81640625" style="4" customWidth="1"/>
    <col min="3" max="3" width="78.81640625" style="4" customWidth="1"/>
    <col min="4" max="16384" width="26.453125" style="4"/>
  </cols>
  <sheetData>
    <row r="1" spans="1:4" ht="18" customHeight="1">
      <c r="A1" s="80" t="s">
        <v>673</v>
      </c>
    </row>
    <row r="2" spans="1:4" ht="18" customHeight="1">
      <c r="A2" s="4" t="s">
        <v>30</v>
      </c>
      <c r="B2" s="4" t="s">
        <v>31</v>
      </c>
      <c r="C2" s="4" t="s">
        <v>254</v>
      </c>
      <c r="D2" s="4" t="s">
        <v>256</v>
      </c>
    </row>
    <row r="3" spans="1:4" ht="18" customHeight="1">
      <c r="A3" s="4" t="s">
        <v>107</v>
      </c>
      <c r="B3" s="5" t="s">
        <v>1058</v>
      </c>
      <c r="C3" s="4" t="s">
        <v>406</v>
      </c>
      <c r="D3" s="4" t="s">
        <v>639</v>
      </c>
    </row>
    <row r="4" spans="1:4" ht="18" customHeight="1">
      <c r="A4" s="4" t="s">
        <v>897</v>
      </c>
      <c r="B4" s="5" t="s">
        <v>1059</v>
      </c>
      <c r="C4" s="4" t="s">
        <v>406</v>
      </c>
      <c r="D4" s="4" t="s">
        <v>639</v>
      </c>
    </row>
    <row r="5" spans="1:4" ht="18" customHeight="1">
      <c r="A5" s="4" t="s">
        <v>663</v>
      </c>
      <c r="B5" s="5" t="s">
        <v>1060</v>
      </c>
      <c r="C5" s="4" t="s">
        <v>406</v>
      </c>
      <c r="D5" s="4" t="s">
        <v>639</v>
      </c>
    </row>
    <row r="6" spans="1:4" ht="18" customHeight="1">
      <c r="A6" s="4" t="s">
        <v>623</v>
      </c>
      <c r="B6" s="5" t="s">
        <v>1061</v>
      </c>
      <c r="C6" s="4" t="s">
        <v>406</v>
      </c>
      <c r="D6" s="4" t="s">
        <v>639</v>
      </c>
    </row>
    <row r="7" spans="1:4" ht="18" customHeight="1">
      <c r="A7" s="4" t="s">
        <v>624</v>
      </c>
      <c r="B7" s="5" t="s">
        <v>1062</v>
      </c>
      <c r="C7" s="4" t="s">
        <v>406</v>
      </c>
      <c r="D7" s="4" t="s">
        <v>639</v>
      </c>
    </row>
    <row r="8" spans="1:4" ht="18" customHeight="1">
      <c r="A8" s="4" t="s">
        <v>625</v>
      </c>
      <c r="B8" s="5" t="s">
        <v>1063</v>
      </c>
      <c r="C8" s="4" t="s">
        <v>406</v>
      </c>
      <c r="D8" s="4" t="s">
        <v>639</v>
      </c>
    </row>
    <row r="9" spans="1:4" ht="18" customHeight="1">
      <c r="A9" s="4" t="s">
        <v>626</v>
      </c>
      <c r="B9" s="5" t="s">
        <v>1064</v>
      </c>
      <c r="C9" s="4" t="s">
        <v>406</v>
      </c>
      <c r="D9" s="4" t="s">
        <v>639</v>
      </c>
    </row>
    <row r="10" spans="1:4" ht="18" customHeight="1">
      <c r="A10" s="4" t="s">
        <v>898</v>
      </c>
      <c r="B10" s="5" t="s">
        <v>1065</v>
      </c>
      <c r="C10" s="4" t="s">
        <v>406</v>
      </c>
      <c r="D10" s="4" t="s">
        <v>639</v>
      </c>
    </row>
    <row r="11" spans="1:4" ht="18" customHeight="1">
      <c r="A11" s="4" t="s">
        <v>117</v>
      </c>
      <c r="B11" s="5" t="s">
        <v>1066</v>
      </c>
      <c r="C11" s="4" t="s">
        <v>406</v>
      </c>
      <c r="D11" s="4" t="s">
        <v>639</v>
      </c>
    </row>
    <row r="12" spans="1:4" ht="18" customHeight="1">
      <c r="A12" s="5" t="s">
        <v>899</v>
      </c>
      <c r="B12" s="5" t="s">
        <v>1067</v>
      </c>
      <c r="C12" s="4" t="s">
        <v>406</v>
      </c>
      <c r="D12" s="4" t="s">
        <v>639</v>
      </c>
    </row>
    <row r="13" spans="1:4" ht="18" customHeight="1">
      <c r="A13" s="4" t="s">
        <v>900</v>
      </c>
      <c r="B13" s="5" t="s">
        <v>667</v>
      </c>
      <c r="C13" s="4" t="s">
        <v>406</v>
      </c>
      <c r="D13" s="4" t="s">
        <v>639</v>
      </c>
    </row>
    <row r="14" spans="1:4" ht="18" customHeight="1">
      <c r="A14" s="5" t="s">
        <v>892</v>
      </c>
      <c r="B14" s="5" t="s">
        <v>1068</v>
      </c>
      <c r="C14" s="4" t="s">
        <v>406</v>
      </c>
      <c r="D14" s="4" t="s">
        <v>639</v>
      </c>
    </row>
    <row r="15" spans="1:4" ht="18" customHeight="1">
      <c r="A15" s="5"/>
      <c r="B15" s="5"/>
    </row>
    <row r="16" spans="1:4" ht="18" customHeight="1">
      <c r="A16" s="80" t="s">
        <v>901</v>
      </c>
    </row>
    <row r="17" spans="1:4" ht="18" customHeight="1">
      <c r="A17" s="4" t="s">
        <v>30</v>
      </c>
      <c r="B17" s="4" t="s">
        <v>31</v>
      </c>
      <c r="C17" s="4" t="s">
        <v>254</v>
      </c>
      <c r="D17" s="4" t="s">
        <v>256</v>
      </c>
    </row>
    <row r="18" spans="1:4" ht="18" customHeight="1">
      <c r="A18" s="4" t="s">
        <v>119</v>
      </c>
      <c r="B18" s="5" t="s">
        <v>368</v>
      </c>
      <c r="C18" s="4" t="s">
        <v>406</v>
      </c>
      <c r="D18" s="4" t="s">
        <v>639</v>
      </c>
    </row>
    <row r="19" spans="1:4" ht="18" customHeight="1">
      <c r="A19" s="4" t="s">
        <v>120</v>
      </c>
      <c r="B19" s="5" t="s">
        <v>613</v>
      </c>
      <c r="C19" s="4" t="s">
        <v>406</v>
      </c>
      <c r="D19" s="4" t="s">
        <v>639</v>
      </c>
    </row>
    <row r="20" spans="1:4" ht="18" customHeight="1">
      <c r="A20" s="4" t="s">
        <v>627</v>
      </c>
      <c r="B20" s="5" t="s">
        <v>368</v>
      </c>
      <c r="C20" s="4" t="s">
        <v>406</v>
      </c>
      <c r="D20" s="4" t="s">
        <v>639</v>
      </c>
    </row>
    <row r="21" spans="1:4" ht="18" customHeight="1">
      <c r="A21" s="4" t="s">
        <v>628</v>
      </c>
      <c r="B21" s="5" t="s">
        <v>629</v>
      </c>
      <c r="C21" s="4" t="s">
        <v>406</v>
      </c>
      <c r="D21" s="4" t="s">
        <v>639</v>
      </c>
    </row>
    <row r="22" spans="1:4" ht="18" customHeight="1">
      <c r="A22" s="4" t="s">
        <v>630</v>
      </c>
      <c r="B22" s="5" t="s">
        <v>631</v>
      </c>
      <c r="C22" s="4" t="s">
        <v>406</v>
      </c>
      <c r="D22" s="4" t="s">
        <v>639</v>
      </c>
    </row>
    <row r="23" spans="1:4" ht="18" customHeight="1">
      <c r="A23" s="4" t="s">
        <v>632</v>
      </c>
      <c r="B23" s="5" t="s">
        <v>633</v>
      </c>
      <c r="C23" s="4" t="s">
        <v>406</v>
      </c>
      <c r="D23" s="4" t="s">
        <v>639</v>
      </c>
    </row>
    <row r="24" spans="1:4" ht="18" customHeight="1">
      <c r="A24" s="4" t="s">
        <v>634</v>
      </c>
      <c r="B24" s="5" t="s">
        <v>617</v>
      </c>
      <c r="C24" s="4" t="s">
        <v>406</v>
      </c>
      <c r="D24" s="4" t="s">
        <v>639</v>
      </c>
    </row>
    <row r="25" spans="1:4" ht="18" customHeight="1">
      <c r="A25" s="4" t="s">
        <v>902</v>
      </c>
      <c r="B25" s="5" t="s">
        <v>633</v>
      </c>
      <c r="C25" s="4" t="s">
        <v>406</v>
      </c>
      <c r="D25" s="4" t="s">
        <v>639</v>
      </c>
    </row>
    <row r="26" spans="1:4" ht="18" customHeight="1">
      <c r="A26" s="4" t="s">
        <v>903</v>
      </c>
      <c r="B26" s="5" t="s">
        <v>620</v>
      </c>
      <c r="C26" s="4" t="s">
        <v>406</v>
      </c>
      <c r="D26" s="4" t="s">
        <v>639</v>
      </c>
    </row>
    <row r="27" spans="1:4" ht="18" customHeight="1">
      <c r="A27" s="5" t="s">
        <v>117</v>
      </c>
      <c r="B27" s="5" t="s">
        <v>635</v>
      </c>
      <c r="C27" s="4" t="s">
        <v>406</v>
      </c>
      <c r="D27" s="4" t="s">
        <v>639</v>
      </c>
    </row>
    <row r="28" spans="1:4" ht="18" customHeight="1">
      <c r="A28" s="4" t="s">
        <v>636</v>
      </c>
      <c r="B28" s="5" t="s">
        <v>916</v>
      </c>
      <c r="C28" s="4" t="s">
        <v>406</v>
      </c>
      <c r="D28" s="4" t="s">
        <v>639</v>
      </c>
    </row>
    <row r="29" spans="1:4" ht="18" customHeight="1">
      <c r="A29" s="5" t="s">
        <v>898</v>
      </c>
      <c r="B29" s="5" t="s">
        <v>904</v>
      </c>
      <c r="C29" s="4" t="s">
        <v>406</v>
      </c>
      <c r="D29" s="4" t="s">
        <v>639</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2162C-A7E3-4FB6-862B-92884FBC726D}">
  <sheetPr codeName="Sheet24"/>
  <dimension ref="A1:D34"/>
  <sheetViews>
    <sheetView topLeftCell="A3" zoomScaleNormal="100" workbookViewId="0">
      <selection activeCell="B3" sqref="B3"/>
    </sheetView>
  </sheetViews>
  <sheetFormatPr defaultColWidth="26.453125" defaultRowHeight="18" customHeight="1"/>
  <cols>
    <col min="1" max="1" width="26.453125" style="4"/>
    <col min="2" max="2" width="58.81640625" style="4" customWidth="1"/>
    <col min="3" max="3" width="78.81640625" style="4" customWidth="1"/>
    <col min="4" max="16384" width="26.453125" style="4"/>
  </cols>
  <sheetData>
    <row r="1" spans="1:4" ht="18" customHeight="1">
      <c r="A1" s="80" t="s">
        <v>818</v>
      </c>
    </row>
    <row r="2" spans="1:4" ht="18" customHeight="1">
      <c r="A2" s="4" t="s">
        <v>30</v>
      </c>
      <c r="B2" s="4" t="s">
        <v>31</v>
      </c>
      <c r="C2" s="4" t="s">
        <v>254</v>
      </c>
      <c r="D2" s="4" t="s">
        <v>256</v>
      </c>
    </row>
    <row r="3" spans="1:4" ht="18" customHeight="1">
      <c r="A3" s="4" t="s">
        <v>107</v>
      </c>
      <c r="B3" s="5" t="s">
        <v>1069</v>
      </c>
      <c r="C3" s="4" t="s">
        <v>406</v>
      </c>
      <c r="D3" s="4" t="s">
        <v>647</v>
      </c>
    </row>
    <row r="4" spans="1:4" ht="18" customHeight="1">
      <c r="A4" s="4" t="s">
        <v>108</v>
      </c>
      <c r="B4" s="5" t="s">
        <v>1070</v>
      </c>
      <c r="C4" s="4" t="s">
        <v>406</v>
      </c>
      <c r="D4" s="4" t="s">
        <v>647</v>
      </c>
    </row>
    <row r="5" spans="1:4" ht="18" customHeight="1">
      <c r="A5" s="4" t="s">
        <v>109</v>
      </c>
      <c r="B5" s="5" t="s">
        <v>1071</v>
      </c>
      <c r="C5" s="4" t="s">
        <v>406</v>
      </c>
      <c r="D5" s="4" t="s">
        <v>647</v>
      </c>
    </row>
    <row r="6" spans="1:4" ht="18" customHeight="1">
      <c r="A6" s="4" t="s">
        <v>623</v>
      </c>
      <c r="B6" s="5" t="s">
        <v>1072</v>
      </c>
      <c r="C6" s="4" t="s">
        <v>406</v>
      </c>
      <c r="D6" s="4" t="s">
        <v>647</v>
      </c>
    </row>
    <row r="7" spans="1:4" ht="18" customHeight="1">
      <c r="A7" s="4" t="s">
        <v>640</v>
      </c>
      <c r="B7" s="5" t="s">
        <v>1073</v>
      </c>
      <c r="C7" s="4" t="s">
        <v>406</v>
      </c>
      <c r="D7" s="4" t="s">
        <v>647</v>
      </c>
    </row>
    <row r="8" spans="1:4" ht="18" customHeight="1">
      <c r="A8" s="4" t="s">
        <v>625</v>
      </c>
      <c r="B8" s="5" t="s">
        <v>1074</v>
      </c>
      <c r="C8" s="4" t="s">
        <v>406</v>
      </c>
      <c r="D8" s="4" t="s">
        <v>647</v>
      </c>
    </row>
    <row r="9" spans="1:4" ht="18" customHeight="1">
      <c r="A9" s="4" t="s">
        <v>641</v>
      </c>
      <c r="B9" s="5" t="s">
        <v>1075</v>
      </c>
      <c r="C9" s="4" t="s">
        <v>406</v>
      </c>
      <c r="D9" s="4" t="s">
        <v>647</v>
      </c>
    </row>
    <row r="10" spans="1:4" ht="18" customHeight="1">
      <c r="A10" s="4" t="s">
        <v>114</v>
      </c>
      <c r="B10" s="5" t="s">
        <v>1076</v>
      </c>
      <c r="C10" s="4" t="s">
        <v>406</v>
      </c>
      <c r="D10" s="4" t="s">
        <v>647</v>
      </c>
    </row>
    <row r="11" spans="1:4" ht="18" customHeight="1">
      <c r="A11" s="4" t="s">
        <v>642</v>
      </c>
      <c r="B11" s="5" t="s">
        <v>1077</v>
      </c>
      <c r="C11" s="4" t="s">
        <v>406</v>
      </c>
      <c r="D11" s="4" t="s">
        <v>647</v>
      </c>
    </row>
    <row r="12" spans="1:4" ht="18" customHeight="1">
      <c r="A12" s="5" t="s">
        <v>117</v>
      </c>
      <c r="B12" s="5" t="s">
        <v>1078</v>
      </c>
      <c r="C12" s="4" t="s">
        <v>406</v>
      </c>
      <c r="D12" s="4" t="s">
        <v>647</v>
      </c>
    </row>
    <row r="13" spans="1:4" ht="18" customHeight="1">
      <c r="A13" s="4" t="s">
        <v>570</v>
      </c>
      <c r="B13" s="5" t="s">
        <v>643</v>
      </c>
      <c r="C13" s="4" t="s">
        <v>406</v>
      </c>
      <c r="D13" s="4" t="s">
        <v>647</v>
      </c>
    </row>
    <row r="14" spans="1:4" ht="18" customHeight="1">
      <c r="A14" s="5" t="s">
        <v>644</v>
      </c>
      <c r="B14" s="5" t="s">
        <v>917</v>
      </c>
      <c r="C14" s="4" t="s">
        <v>406</v>
      </c>
      <c r="D14" s="4" t="s">
        <v>647</v>
      </c>
    </row>
    <row r="15" spans="1:4" ht="18" customHeight="1">
      <c r="A15" s="4" t="s">
        <v>646</v>
      </c>
      <c r="B15" s="5" t="s">
        <v>645</v>
      </c>
      <c r="C15" s="4" t="s">
        <v>406</v>
      </c>
      <c r="D15" s="4" t="s">
        <v>647</v>
      </c>
    </row>
    <row r="16" spans="1:4" ht="18" customHeight="1">
      <c r="A16" s="5" t="s">
        <v>892</v>
      </c>
      <c r="B16" s="5" t="s">
        <v>1079</v>
      </c>
      <c r="C16" s="4" t="s">
        <v>406</v>
      </c>
      <c r="D16" s="4" t="s">
        <v>647</v>
      </c>
    </row>
    <row r="17" spans="1:4" ht="18" customHeight="1">
      <c r="A17" s="5"/>
      <c r="B17" s="5"/>
    </row>
    <row r="18" spans="1:4" ht="18" customHeight="1">
      <c r="A18" s="80" t="s">
        <v>905</v>
      </c>
    </row>
    <row r="19" spans="1:4" ht="18" customHeight="1">
      <c r="A19" s="4" t="s">
        <v>30</v>
      </c>
      <c r="B19" s="4" t="s">
        <v>31</v>
      </c>
      <c r="C19" s="4" t="s">
        <v>254</v>
      </c>
      <c r="D19" s="4" t="s">
        <v>256</v>
      </c>
    </row>
    <row r="20" spans="1:4" ht="18" customHeight="1">
      <c r="A20" s="4" t="s">
        <v>119</v>
      </c>
      <c r="B20" s="5" t="s">
        <v>648</v>
      </c>
      <c r="C20" s="4" t="s">
        <v>406</v>
      </c>
      <c r="D20" s="4" t="s">
        <v>647</v>
      </c>
    </row>
    <row r="21" spans="1:4" ht="18" customHeight="1">
      <c r="A21" s="4" t="s">
        <v>120</v>
      </c>
      <c r="B21" s="5" t="s">
        <v>613</v>
      </c>
      <c r="C21" s="4" t="s">
        <v>406</v>
      </c>
      <c r="D21" s="4" t="s">
        <v>647</v>
      </c>
    </row>
    <row r="22" spans="1:4" ht="18" customHeight="1">
      <c r="A22" s="4" t="s">
        <v>649</v>
      </c>
      <c r="B22" s="5" t="s">
        <v>368</v>
      </c>
      <c r="C22" s="4" t="s">
        <v>406</v>
      </c>
      <c r="D22" s="4" t="s">
        <v>647</v>
      </c>
    </row>
    <row r="23" spans="1:4" ht="18" customHeight="1">
      <c r="A23" s="4" t="s">
        <v>650</v>
      </c>
      <c r="B23" s="5" t="s">
        <v>614</v>
      </c>
      <c r="C23" s="4" t="s">
        <v>406</v>
      </c>
      <c r="D23" s="4" t="s">
        <v>647</v>
      </c>
    </row>
    <row r="24" spans="1:4" ht="18" customHeight="1">
      <c r="A24" s="4" t="s">
        <v>651</v>
      </c>
      <c r="B24" s="5" t="s">
        <v>652</v>
      </c>
      <c r="C24" s="4" t="s">
        <v>406</v>
      </c>
      <c r="D24" s="4" t="s">
        <v>647</v>
      </c>
    </row>
    <row r="25" spans="1:4" ht="18" customHeight="1">
      <c r="A25" s="4" t="s">
        <v>110</v>
      </c>
      <c r="B25" s="5" t="s">
        <v>653</v>
      </c>
      <c r="C25" s="4" t="s">
        <v>406</v>
      </c>
      <c r="D25" s="4" t="s">
        <v>647</v>
      </c>
    </row>
    <row r="26" spans="1:4" ht="18" customHeight="1">
      <c r="A26" s="4" t="s">
        <v>654</v>
      </c>
      <c r="B26" s="5" t="s">
        <v>648</v>
      </c>
      <c r="C26" s="4" t="s">
        <v>406</v>
      </c>
      <c r="D26" s="4" t="s">
        <v>647</v>
      </c>
    </row>
    <row r="27" spans="1:4" ht="18" customHeight="1">
      <c r="A27" s="4" t="s">
        <v>655</v>
      </c>
      <c r="B27" s="5" t="s">
        <v>620</v>
      </c>
      <c r="C27" s="4" t="s">
        <v>406</v>
      </c>
      <c r="D27" s="4" t="s">
        <v>647</v>
      </c>
    </row>
    <row r="28" spans="1:4" ht="18" customHeight="1">
      <c r="A28" s="4" t="s">
        <v>632</v>
      </c>
      <c r="B28" s="5" t="s">
        <v>368</v>
      </c>
      <c r="C28" s="4" t="s">
        <v>406</v>
      </c>
      <c r="D28" s="4" t="s">
        <v>647</v>
      </c>
    </row>
    <row r="29" spans="1:4" ht="18" customHeight="1">
      <c r="A29" s="5" t="s">
        <v>634</v>
      </c>
      <c r="B29" s="5" t="s">
        <v>620</v>
      </c>
      <c r="C29" s="4" t="s">
        <v>406</v>
      </c>
      <c r="D29" s="4" t="s">
        <v>647</v>
      </c>
    </row>
    <row r="30" spans="1:4" ht="18" customHeight="1">
      <c r="A30" s="4" t="s">
        <v>642</v>
      </c>
      <c r="B30" s="5" t="s">
        <v>656</v>
      </c>
      <c r="C30" s="4" t="s">
        <v>406</v>
      </c>
      <c r="D30" s="4" t="s">
        <v>647</v>
      </c>
    </row>
    <row r="31" spans="1:4" ht="18" customHeight="1">
      <c r="A31" s="5" t="s">
        <v>114</v>
      </c>
      <c r="B31" s="5" t="s">
        <v>657</v>
      </c>
      <c r="C31" s="4" t="s">
        <v>406</v>
      </c>
      <c r="D31" s="4" t="s">
        <v>647</v>
      </c>
    </row>
    <row r="32" spans="1:4" ht="18" customHeight="1">
      <c r="A32" s="4" t="s">
        <v>658</v>
      </c>
      <c r="B32" s="5" t="s">
        <v>659</v>
      </c>
      <c r="C32" s="4" t="s">
        <v>406</v>
      </c>
      <c r="D32" s="4" t="s">
        <v>647</v>
      </c>
    </row>
    <row r="33" spans="1:4" ht="18" customHeight="1">
      <c r="A33" s="5" t="s">
        <v>660</v>
      </c>
      <c r="B33" s="5" t="s">
        <v>918</v>
      </c>
      <c r="C33" s="4" t="s">
        <v>406</v>
      </c>
      <c r="D33" s="4" t="s">
        <v>647</v>
      </c>
    </row>
    <row r="34" spans="1:4" ht="18" customHeight="1">
      <c r="A34" s="5" t="s">
        <v>129</v>
      </c>
      <c r="B34" s="5" t="s">
        <v>661</v>
      </c>
      <c r="C34" s="4" t="s">
        <v>406</v>
      </c>
      <c r="D34" s="4" t="s">
        <v>647</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26618-9083-4487-A8C4-2BE7624C3668}">
  <sheetPr codeName="Sheet25"/>
  <dimension ref="A1:D30"/>
  <sheetViews>
    <sheetView topLeftCell="A3" zoomScaleNormal="100" workbookViewId="0">
      <selection activeCell="B38" sqref="B38"/>
    </sheetView>
  </sheetViews>
  <sheetFormatPr defaultColWidth="26.453125" defaultRowHeight="18" customHeight="1"/>
  <cols>
    <col min="1" max="1" width="26.453125" style="4"/>
    <col min="2" max="2" width="58.81640625" style="4" customWidth="1"/>
    <col min="3" max="3" width="78.81640625" style="4" customWidth="1"/>
    <col min="4" max="16384" width="26.453125" style="4"/>
  </cols>
  <sheetData>
    <row r="1" spans="1:4" ht="18" customHeight="1">
      <c r="A1" s="80" t="s">
        <v>819</v>
      </c>
    </row>
    <row r="2" spans="1:4" ht="18" customHeight="1">
      <c r="A2" s="4" t="s">
        <v>30</v>
      </c>
      <c r="B2" s="4" t="s">
        <v>31</v>
      </c>
      <c r="C2" s="4" t="s">
        <v>254</v>
      </c>
      <c r="D2" s="4" t="s">
        <v>256</v>
      </c>
    </row>
    <row r="3" spans="1:4" ht="18" customHeight="1">
      <c r="A3" s="4" t="s">
        <v>107</v>
      </c>
      <c r="B3" s="5" t="s">
        <v>1080</v>
      </c>
      <c r="C3" s="4" t="s">
        <v>406</v>
      </c>
      <c r="D3" s="4" t="s">
        <v>669</v>
      </c>
    </row>
    <row r="4" spans="1:4" ht="18" customHeight="1">
      <c r="A4" s="4" t="s">
        <v>662</v>
      </c>
      <c r="B4" s="5" t="s">
        <v>1081</v>
      </c>
      <c r="C4" s="4" t="s">
        <v>406</v>
      </c>
      <c r="D4" s="4" t="s">
        <v>669</v>
      </c>
    </row>
    <row r="5" spans="1:4" ht="18" customHeight="1">
      <c r="A5" s="4" t="s">
        <v>663</v>
      </c>
      <c r="B5" s="5" t="s">
        <v>1082</v>
      </c>
      <c r="C5" s="4" t="s">
        <v>406</v>
      </c>
      <c r="D5" s="4" t="s">
        <v>669</v>
      </c>
    </row>
    <row r="6" spans="1:4" ht="18" customHeight="1">
      <c r="A6" s="4" t="s">
        <v>623</v>
      </c>
      <c r="B6" s="5" t="s">
        <v>1083</v>
      </c>
      <c r="C6" s="4" t="s">
        <v>406</v>
      </c>
      <c r="D6" s="4" t="s">
        <v>669</v>
      </c>
    </row>
    <row r="7" spans="1:4" ht="18" customHeight="1">
      <c r="A7" s="4" t="s">
        <v>624</v>
      </c>
      <c r="B7" s="5" t="s">
        <v>1084</v>
      </c>
      <c r="C7" s="4" t="s">
        <v>406</v>
      </c>
      <c r="D7" s="4" t="s">
        <v>669</v>
      </c>
    </row>
    <row r="8" spans="1:4" ht="18" customHeight="1">
      <c r="A8" s="4" t="s">
        <v>625</v>
      </c>
      <c r="B8" s="5" t="s">
        <v>1085</v>
      </c>
      <c r="C8" s="4" t="s">
        <v>406</v>
      </c>
      <c r="D8" s="4" t="s">
        <v>669</v>
      </c>
    </row>
    <row r="9" spans="1:4" ht="18" customHeight="1">
      <c r="A9" s="4" t="s">
        <v>626</v>
      </c>
      <c r="B9" s="5" t="s">
        <v>1086</v>
      </c>
      <c r="C9" s="4" t="s">
        <v>406</v>
      </c>
      <c r="D9" s="4" t="s">
        <v>669</v>
      </c>
    </row>
    <row r="10" spans="1:4" ht="18" customHeight="1">
      <c r="A10" s="4" t="s">
        <v>664</v>
      </c>
      <c r="B10" s="5" t="s">
        <v>1087</v>
      </c>
      <c r="C10" s="4" t="s">
        <v>406</v>
      </c>
      <c r="D10" s="4" t="s">
        <v>669</v>
      </c>
    </row>
    <row r="11" spans="1:4" ht="18" customHeight="1">
      <c r="A11" s="4" t="s">
        <v>665</v>
      </c>
      <c r="B11" s="5" t="s">
        <v>1088</v>
      </c>
      <c r="C11" s="4" t="s">
        <v>406</v>
      </c>
      <c r="D11" s="4" t="s">
        <v>669</v>
      </c>
    </row>
    <row r="12" spans="1:4" ht="18" customHeight="1">
      <c r="A12" s="5" t="s">
        <v>666</v>
      </c>
      <c r="B12" s="5" t="s">
        <v>363</v>
      </c>
      <c r="C12" s="4" t="s">
        <v>406</v>
      </c>
      <c r="D12" s="4" t="s">
        <v>669</v>
      </c>
    </row>
    <row r="13" spans="1:4" ht="18" customHeight="1">
      <c r="A13" s="4" t="s">
        <v>117</v>
      </c>
      <c r="B13" s="5" t="s">
        <v>1089</v>
      </c>
      <c r="C13" s="4" t="s">
        <v>406</v>
      </c>
      <c r="D13" s="4" t="s">
        <v>669</v>
      </c>
    </row>
    <row r="14" spans="1:4" ht="18" customHeight="1">
      <c r="A14" s="5" t="s">
        <v>668</v>
      </c>
      <c r="B14" s="5" t="s">
        <v>667</v>
      </c>
      <c r="C14" s="4" t="s">
        <v>406</v>
      </c>
      <c r="D14" s="4" t="s">
        <v>669</v>
      </c>
    </row>
    <row r="15" spans="1:4" ht="18" customHeight="1">
      <c r="A15" s="5" t="s">
        <v>892</v>
      </c>
      <c r="B15" s="5" t="s">
        <v>1090</v>
      </c>
      <c r="C15" s="4" t="s">
        <v>406</v>
      </c>
      <c r="D15" s="4" t="s">
        <v>669</v>
      </c>
    </row>
    <row r="16" spans="1:4" ht="18" customHeight="1">
      <c r="A16" s="5"/>
      <c r="B16" s="5"/>
    </row>
    <row r="17" spans="1:4" ht="18" customHeight="1">
      <c r="A17" s="80" t="s">
        <v>906</v>
      </c>
    </row>
    <row r="18" spans="1:4" ht="18" customHeight="1">
      <c r="A18" s="4" t="s">
        <v>30</v>
      </c>
      <c r="B18" s="4" t="s">
        <v>31</v>
      </c>
      <c r="C18" s="4" t="s">
        <v>254</v>
      </c>
      <c r="D18" s="4" t="s">
        <v>256</v>
      </c>
    </row>
    <row r="19" spans="1:4" ht="18" customHeight="1">
      <c r="A19" s="4" t="s">
        <v>119</v>
      </c>
      <c r="B19" s="5" t="s">
        <v>368</v>
      </c>
      <c r="C19" s="4" t="s">
        <v>406</v>
      </c>
      <c r="D19" s="4" t="s">
        <v>669</v>
      </c>
    </row>
    <row r="20" spans="1:4" ht="18" customHeight="1">
      <c r="A20" s="4" t="s">
        <v>120</v>
      </c>
      <c r="B20" s="5" t="s">
        <v>613</v>
      </c>
      <c r="C20" s="4" t="s">
        <v>406</v>
      </c>
      <c r="D20" s="4" t="s">
        <v>669</v>
      </c>
    </row>
    <row r="21" spans="1:4" ht="18" customHeight="1">
      <c r="A21" s="4" t="s">
        <v>670</v>
      </c>
      <c r="B21" s="5" t="s">
        <v>368</v>
      </c>
      <c r="C21" s="4" t="s">
        <v>406</v>
      </c>
      <c r="D21" s="4" t="s">
        <v>669</v>
      </c>
    </row>
    <row r="22" spans="1:4" ht="18" customHeight="1">
      <c r="A22" s="4" t="s">
        <v>671</v>
      </c>
      <c r="B22" s="5" t="s">
        <v>629</v>
      </c>
      <c r="C22" s="4" t="s">
        <v>406</v>
      </c>
      <c r="D22" s="4" t="s">
        <v>669</v>
      </c>
    </row>
    <row r="23" spans="1:4" ht="18" customHeight="1">
      <c r="A23" s="4" t="s">
        <v>630</v>
      </c>
      <c r="B23" s="5" t="s">
        <v>631</v>
      </c>
      <c r="C23" s="4" t="s">
        <v>406</v>
      </c>
      <c r="D23" s="4" t="s">
        <v>669</v>
      </c>
    </row>
    <row r="24" spans="1:4" ht="18" customHeight="1">
      <c r="A24" s="4" t="s">
        <v>672</v>
      </c>
      <c r="B24" s="5" t="s">
        <v>1091</v>
      </c>
      <c r="C24" s="4" t="s">
        <v>406</v>
      </c>
      <c r="D24" s="4" t="s">
        <v>669</v>
      </c>
    </row>
    <row r="25" spans="1:4" ht="18" customHeight="1">
      <c r="A25" s="4" t="s">
        <v>632</v>
      </c>
      <c r="B25" s="5" t="s">
        <v>633</v>
      </c>
      <c r="C25" s="4" t="s">
        <v>406</v>
      </c>
      <c r="D25" s="4" t="s">
        <v>669</v>
      </c>
    </row>
    <row r="26" spans="1:4" ht="18" customHeight="1">
      <c r="A26" s="4" t="s">
        <v>634</v>
      </c>
      <c r="B26" s="5" t="s">
        <v>617</v>
      </c>
      <c r="C26" s="4" t="s">
        <v>406</v>
      </c>
      <c r="D26" s="4" t="s">
        <v>669</v>
      </c>
    </row>
    <row r="27" spans="1:4" ht="18" customHeight="1">
      <c r="A27" s="4" t="s">
        <v>637</v>
      </c>
      <c r="B27" s="5" t="s">
        <v>633</v>
      </c>
      <c r="C27" s="4" t="s">
        <v>406</v>
      </c>
      <c r="D27" s="4" t="s">
        <v>669</v>
      </c>
    </row>
    <row r="28" spans="1:4" ht="18" customHeight="1">
      <c r="A28" s="5" t="s">
        <v>638</v>
      </c>
      <c r="B28" s="5" t="s">
        <v>620</v>
      </c>
      <c r="C28" s="4" t="s">
        <v>406</v>
      </c>
      <c r="D28" s="4" t="s">
        <v>669</v>
      </c>
    </row>
    <row r="29" spans="1:4" ht="18" customHeight="1">
      <c r="A29" s="4" t="s">
        <v>117</v>
      </c>
      <c r="B29" s="5" t="s">
        <v>635</v>
      </c>
      <c r="C29" s="4" t="s">
        <v>406</v>
      </c>
      <c r="D29" s="4" t="s">
        <v>669</v>
      </c>
    </row>
    <row r="30" spans="1:4" ht="18" customHeight="1">
      <c r="A30" s="5" t="s">
        <v>665</v>
      </c>
      <c r="B30" s="5" t="s">
        <v>907</v>
      </c>
      <c r="C30" s="4" t="s">
        <v>406</v>
      </c>
      <c r="D30" s="4" t="s">
        <v>669</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901E4-5138-4640-ABAA-4B52C9AF62EB}">
  <sheetPr codeName="Sheet26"/>
  <dimension ref="A1:D41"/>
  <sheetViews>
    <sheetView zoomScale="70" zoomScaleNormal="70" workbookViewId="0">
      <selection activeCell="H43" sqref="H43"/>
    </sheetView>
  </sheetViews>
  <sheetFormatPr defaultColWidth="26.453125" defaultRowHeight="18" customHeight="1"/>
  <cols>
    <col min="1" max="1" width="26.453125" style="4"/>
    <col min="2" max="2" width="73.54296875" style="4" customWidth="1"/>
    <col min="3" max="3" width="44.81640625" style="4" customWidth="1"/>
    <col min="4" max="16384" width="26.453125" style="4"/>
  </cols>
  <sheetData>
    <row r="1" spans="1:4" ht="18" customHeight="1">
      <c r="A1" s="4" t="s">
        <v>30</v>
      </c>
      <c r="B1" s="4" t="s">
        <v>31</v>
      </c>
      <c r="C1" s="4" t="s">
        <v>254</v>
      </c>
      <c r="D1" s="4" t="s">
        <v>256</v>
      </c>
    </row>
    <row r="2" spans="1:4" ht="18" customHeight="1">
      <c r="A2" s="5" t="s">
        <v>130</v>
      </c>
      <c r="B2" s="5" t="s">
        <v>405</v>
      </c>
      <c r="C2" s="4" t="s">
        <v>406</v>
      </c>
      <c r="D2" s="4" t="s">
        <v>105</v>
      </c>
    </row>
    <row r="3" spans="1:4" ht="18" customHeight="1">
      <c r="A3" s="5" t="s">
        <v>131</v>
      </c>
      <c r="B3" s="5" t="s">
        <v>378</v>
      </c>
      <c r="C3" s="4" t="s">
        <v>406</v>
      </c>
      <c r="D3" s="4" t="s">
        <v>105</v>
      </c>
    </row>
    <row r="4" spans="1:4" ht="18" customHeight="1">
      <c r="A4" s="5" t="s">
        <v>132</v>
      </c>
      <c r="B4" s="5" t="s">
        <v>379</v>
      </c>
      <c r="C4" s="4" t="s">
        <v>406</v>
      </c>
      <c r="D4" s="4" t="s">
        <v>105</v>
      </c>
    </row>
    <row r="5" spans="1:4" ht="18" customHeight="1">
      <c r="A5" s="5" t="s">
        <v>133</v>
      </c>
      <c r="B5" s="5" t="s">
        <v>407</v>
      </c>
      <c r="C5" s="4" t="s">
        <v>406</v>
      </c>
      <c r="D5" s="4" t="s">
        <v>105</v>
      </c>
    </row>
    <row r="6" spans="1:4" ht="18" customHeight="1">
      <c r="A6" s="5" t="s">
        <v>134</v>
      </c>
      <c r="B6" s="5" t="s">
        <v>381</v>
      </c>
      <c r="C6" s="4" t="s">
        <v>406</v>
      </c>
      <c r="D6" s="4" t="s">
        <v>105</v>
      </c>
    </row>
    <row r="7" spans="1:4" ht="18" customHeight="1">
      <c r="A7" s="5" t="s">
        <v>135</v>
      </c>
      <c r="B7" s="5" t="s">
        <v>382</v>
      </c>
      <c r="C7" s="4" t="s">
        <v>406</v>
      </c>
      <c r="D7" s="4" t="s">
        <v>105</v>
      </c>
    </row>
    <row r="8" spans="1:4" ht="18" customHeight="1">
      <c r="A8" s="5" t="s">
        <v>110</v>
      </c>
      <c r="B8" s="5" t="s">
        <v>383</v>
      </c>
      <c r="C8" s="4" t="s">
        <v>406</v>
      </c>
      <c r="D8" s="4" t="s">
        <v>105</v>
      </c>
    </row>
    <row r="9" spans="1:4" ht="18" customHeight="1">
      <c r="A9" s="5" t="s">
        <v>136</v>
      </c>
      <c r="B9" s="5" t="s">
        <v>384</v>
      </c>
      <c r="C9" s="4" t="s">
        <v>406</v>
      </c>
      <c r="D9" s="4" t="s">
        <v>105</v>
      </c>
    </row>
    <row r="10" spans="1:4" ht="18" customHeight="1">
      <c r="A10" s="5" t="s">
        <v>137</v>
      </c>
      <c r="B10" s="5" t="s">
        <v>385</v>
      </c>
      <c r="C10" s="4" t="s">
        <v>406</v>
      </c>
      <c r="D10" s="4" t="s">
        <v>105</v>
      </c>
    </row>
    <row r="11" spans="1:4" ht="18" customHeight="1">
      <c r="A11" s="5" t="s">
        <v>138</v>
      </c>
      <c r="B11" s="5" t="s">
        <v>386</v>
      </c>
      <c r="C11" s="4" t="s">
        <v>406</v>
      </c>
      <c r="D11" s="4" t="s">
        <v>105</v>
      </c>
    </row>
    <row r="12" spans="1:4" ht="18" customHeight="1">
      <c r="A12" s="5" t="s">
        <v>139</v>
      </c>
      <c r="B12" s="5" t="s">
        <v>387</v>
      </c>
      <c r="C12" s="4" t="s">
        <v>406</v>
      </c>
      <c r="D12" s="4" t="s">
        <v>105</v>
      </c>
    </row>
    <row r="13" spans="1:4" ht="18" customHeight="1">
      <c r="A13" s="5" t="s">
        <v>140</v>
      </c>
      <c r="B13" s="5" t="s">
        <v>388</v>
      </c>
      <c r="C13" s="4" t="s">
        <v>406</v>
      </c>
      <c r="D13" s="4" t="s">
        <v>105</v>
      </c>
    </row>
    <row r="14" spans="1:4" ht="18" customHeight="1">
      <c r="A14" s="5" t="s">
        <v>141</v>
      </c>
      <c r="B14" s="5" t="s">
        <v>389</v>
      </c>
      <c r="C14" s="4" t="s">
        <v>406</v>
      </c>
      <c r="D14" s="4" t="s">
        <v>105</v>
      </c>
    </row>
    <row r="15" spans="1:4" ht="18" customHeight="1">
      <c r="A15" s="5" t="s">
        <v>142</v>
      </c>
      <c r="B15" s="5" t="s">
        <v>390</v>
      </c>
      <c r="C15" s="4" t="s">
        <v>406</v>
      </c>
      <c r="D15" s="4" t="s">
        <v>105</v>
      </c>
    </row>
    <row r="16" spans="1:4" ht="18" customHeight="1">
      <c r="A16" s="5" t="s">
        <v>143</v>
      </c>
      <c r="B16" s="5" t="s">
        <v>408</v>
      </c>
      <c r="C16" s="4" t="s">
        <v>406</v>
      </c>
      <c r="D16" s="4" t="s">
        <v>105</v>
      </c>
    </row>
    <row r="17" spans="1:4" ht="18" customHeight="1">
      <c r="A17" s="5" t="s">
        <v>144</v>
      </c>
      <c r="B17" s="5" t="s">
        <v>409</v>
      </c>
      <c r="C17" s="4" t="s">
        <v>406</v>
      </c>
      <c r="D17" s="4" t="s">
        <v>105</v>
      </c>
    </row>
    <row r="18" spans="1:4" ht="18" customHeight="1">
      <c r="A18" s="5" t="s">
        <v>145</v>
      </c>
      <c r="B18" s="5" t="s">
        <v>393</v>
      </c>
      <c r="C18" s="4" t="s">
        <v>406</v>
      </c>
      <c r="D18" s="4" t="s">
        <v>105</v>
      </c>
    </row>
    <row r="19" spans="1:4" ht="18" customHeight="1">
      <c r="A19" s="5" t="s">
        <v>146</v>
      </c>
      <c r="B19" s="5" t="s">
        <v>410</v>
      </c>
      <c r="C19" s="4" t="s">
        <v>406</v>
      </c>
      <c r="D19" s="4" t="s">
        <v>105</v>
      </c>
    </row>
    <row r="20" spans="1:4" ht="18" customHeight="1">
      <c r="A20" s="5" t="s">
        <v>147</v>
      </c>
      <c r="B20" s="5" t="s">
        <v>395</v>
      </c>
      <c r="C20" s="4" t="s">
        <v>406</v>
      </c>
      <c r="D20" s="4" t="s">
        <v>105</v>
      </c>
    </row>
    <row r="21" spans="1:4" ht="18" customHeight="1">
      <c r="A21" s="5" t="s">
        <v>411</v>
      </c>
      <c r="B21" s="5" t="s">
        <v>409</v>
      </c>
      <c r="C21" s="4" t="s">
        <v>406</v>
      </c>
      <c r="D21" s="4" t="s">
        <v>105</v>
      </c>
    </row>
    <row r="22" spans="1:4" ht="18" customHeight="1">
      <c r="A22" s="5" t="s">
        <v>412</v>
      </c>
      <c r="B22" s="5" t="s">
        <v>393</v>
      </c>
      <c r="C22" s="4" t="s">
        <v>406</v>
      </c>
      <c r="D22" s="4" t="s">
        <v>105</v>
      </c>
    </row>
    <row r="23" spans="1:4" ht="18" customHeight="1">
      <c r="A23" s="5" t="s">
        <v>150</v>
      </c>
      <c r="B23" s="5" t="s">
        <v>396</v>
      </c>
      <c r="C23" s="4" t="s">
        <v>406</v>
      </c>
      <c r="D23" s="4" t="s">
        <v>105</v>
      </c>
    </row>
    <row r="24" spans="1:4" ht="18" customHeight="1">
      <c r="A24" s="5" t="s">
        <v>151</v>
      </c>
      <c r="B24" s="5" t="s">
        <v>413</v>
      </c>
      <c r="C24" s="4" t="s">
        <v>406</v>
      </c>
      <c r="D24" s="4" t="s">
        <v>105</v>
      </c>
    </row>
    <row r="25" spans="1:4" ht="18" customHeight="1">
      <c r="A25" s="5" t="s">
        <v>152</v>
      </c>
      <c r="B25" s="5" t="s">
        <v>393</v>
      </c>
      <c r="C25" s="4" t="s">
        <v>406</v>
      </c>
      <c r="D25" s="4" t="s">
        <v>105</v>
      </c>
    </row>
    <row r="26" spans="1:4" ht="18" customHeight="1">
      <c r="A26" s="5" t="s">
        <v>153</v>
      </c>
      <c r="B26" s="5" t="s">
        <v>409</v>
      </c>
      <c r="C26" s="4" t="s">
        <v>406</v>
      </c>
      <c r="D26" s="4" t="s">
        <v>105</v>
      </c>
    </row>
    <row r="27" spans="1:4" ht="18" customHeight="1">
      <c r="A27" s="33" t="s">
        <v>154</v>
      </c>
      <c r="B27" s="5" t="s">
        <v>398</v>
      </c>
      <c r="C27" s="4" t="s">
        <v>406</v>
      </c>
      <c r="D27" s="4" t="s">
        <v>105</v>
      </c>
    </row>
    <row r="28" spans="1:4" ht="18" customHeight="1">
      <c r="A28" s="33" t="s">
        <v>155</v>
      </c>
      <c r="B28" s="5" t="s">
        <v>393</v>
      </c>
      <c r="C28" s="4" t="s">
        <v>406</v>
      </c>
      <c r="D28" s="4" t="s">
        <v>105</v>
      </c>
    </row>
    <row r="29" spans="1:4" ht="18" customHeight="1">
      <c r="A29" s="5" t="s">
        <v>156</v>
      </c>
      <c r="B29" s="5" t="s">
        <v>414</v>
      </c>
      <c r="C29" s="4" t="s">
        <v>406</v>
      </c>
      <c r="D29" s="4" t="s">
        <v>105</v>
      </c>
    </row>
    <row r="30" spans="1:4" ht="18" customHeight="1">
      <c r="A30" s="4" t="s">
        <v>157</v>
      </c>
      <c r="B30" s="5" t="s">
        <v>393</v>
      </c>
      <c r="C30" s="4" t="s">
        <v>406</v>
      </c>
      <c r="D30" s="4" t="s">
        <v>105</v>
      </c>
    </row>
    <row r="31" spans="1:4" ht="18" customHeight="1">
      <c r="A31" s="4" t="s">
        <v>158</v>
      </c>
      <c r="B31" s="5" t="s">
        <v>409</v>
      </c>
      <c r="C31" s="4" t="s">
        <v>406</v>
      </c>
      <c r="D31" s="4" t="s">
        <v>105</v>
      </c>
    </row>
    <row r="32" spans="1:4" ht="18" customHeight="1">
      <c r="A32" s="4" t="s">
        <v>159</v>
      </c>
      <c r="B32" s="5" t="s">
        <v>393</v>
      </c>
      <c r="C32" s="4" t="s">
        <v>406</v>
      </c>
      <c r="D32" s="4" t="s">
        <v>105</v>
      </c>
    </row>
    <row r="33" spans="1:4" ht="18" customHeight="1">
      <c r="A33" s="4" t="s">
        <v>160</v>
      </c>
      <c r="B33" s="5" t="s">
        <v>415</v>
      </c>
      <c r="C33" s="4" t="s">
        <v>406</v>
      </c>
      <c r="D33" s="4" t="s">
        <v>105</v>
      </c>
    </row>
    <row r="34" spans="1:4" ht="18" customHeight="1">
      <c r="A34" s="4" t="s">
        <v>161</v>
      </c>
      <c r="B34" s="5" t="s">
        <v>395</v>
      </c>
      <c r="C34" s="4" t="s">
        <v>406</v>
      </c>
      <c r="D34" s="4" t="s">
        <v>105</v>
      </c>
    </row>
    <row r="35" spans="1:4" ht="18" customHeight="1">
      <c r="A35" s="4" t="s">
        <v>162</v>
      </c>
      <c r="B35" s="5" t="s">
        <v>416</v>
      </c>
      <c r="C35" s="4" t="s">
        <v>406</v>
      </c>
      <c r="D35" s="4" t="s">
        <v>105</v>
      </c>
    </row>
    <row r="36" spans="1:4" ht="18" customHeight="1">
      <c r="A36" s="5" t="s">
        <v>163</v>
      </c>
      <c r="B36" s="5" t="s">
        <v>409</v>
      </c>
      <c r="C36" s="4" t="s">
        <v>406</v>
      </c>
      <c r="D36" s="4" t="s">
        <v>105</v>
      </c>
    </row>
    <row r="37" spans="1:4" ht="18" customHeight="1">
      <c r="A37" s="5" t="s">
        <v>164</v>
      </c>
      <c r="B37" s="5" t="s">
        <v>393</v>
      </c>
      <c r="C37" s="4" t="s">
        <v>406</v>
      </c>
      <c r="D37" s="4" t="s">
        <v>105</v>
      </c>
    </row>
    <row r="38" spans="1:4" ht="18" customHeight="1">
      <c r="A38" s="4" t="s">
        <v>165</v>
      </c>
      <c r="B38" s="5" t="s">
        <v>417</v>
      </c>
      <c r="C38" s="4" t="s">
        <v>406</v>
      </c>
      <c r="D38" s="4" t="s">
        <v>105</v>
      </c>
    </row>
    <row r="39" spans="1:4" ht="18" customHeight="1">
      <c r="A39" s="4" t="s">
        <v>127</v>
      </c>
      <c r="B39" s="5" t="s">
        <v>403</v>
      </c>
      <c r="C39" s="4" t="s">
        <v>406</v>
      </c>
      <c r="D39" s="4" t="s">
        <v>105</v>
      </c>
    </row>
    <row r="40" spans="1:4" ht="18" customHeight="1">
      <c r="A40" s="4" t="s">
        <v>128</v>
      </c>
      <c r="B40" s="5" t="s">
        <v>403</v>
      </c>
      <c r="C40" s="4" t="s">
        <v>406</v>
      </c>
      <c r="D40" s="4" t="s">
        <v>105</v>
      </c>
    </row>
    <row r="41" spans="1:4" ht="18" customHeight="1">
      <c r="A41" s="4" t="s">
        <v>166</v>
      </c>
      <c r="B41" s="5" t="s">
        <v>404</v>
      </c>
      <c r="C41" s="4" t="s">
        <v>406</v>
      </c>
      <c r="D41" s="4" t="s">
        <v>105</v>
      </c>
    </row>
  </sheetData>
  <sheetProtection selectLockedCells="1" selectUnlockedCells="1"/>
  <phoneticPr fontId="18" type="noConversion"/>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45B34-47F1-4ADE-8ED2-835BF9259D1B}">
  <sheetPr codeName="Sheet8"/>
  <dimension ref="A2:L227"/>
  <sheetViews>
    <sheetView topLeftCell="A5" zoomScale="55" zoomScaleNormal="55" workbookViewId="0">
      <selection activeCell="D30" sqref="D30"/>
    </sheetView>
  </sheetViews>
  <sheetFormatPr defaultColWidth="8.81640625" defaultRowHeight="13.5"/>
  <cols>
    <col min="1" max="1" width="28.81640625" style="63" customWidth="1"/>
    <col min="2" max="2" width="114.08984375" style="63" customWidth="1"/>
    <col min="3" max="3" width="125.1796875" style="63" customWidth="1"/>
    <col min="4" max="4" width="129.54296875" style="63" bestFit="1" customWidth="1"/>
    <col min="5" max="5" width="170" style="63" customWidth="1"/>
    <col min="6" max="16384" width="8.81640625" style="63"/>
  </cols>
  <sheetData>
    <row r="2" spans="1:4">
      <c r="A2" s="62" t="s">
        <v>418</v>
      </c>
      <c r="B2" s="62"/>
      <c r="C2" s="62"/>
      <c r="D2" s="62"/>
    </row>
    <row r="3" spans="1:4">
      <c r="A3" s="195" t="s">
        <v>30</v>
      </c>
      <c r="B3" s="195" t="s">
        <v>31</v>
      </c>
      <c r="C3" s="195" t="s">
        <v>255</v>
      </c>
      <c r="D3" s="195" t="s">
        <v>34</v>
      </c>
    </row>
    <row r="4" spans="1:4" ht="43.5">
      <c r="A4" s="187" t="s">
        <v>178</v>
      </c>
      <c r="B4" s="187" t="s">
        <v>1197</v>
      </c>
      <c r="C4" s="188" t="s">
        <v>346</v>
      </c>
      <c r="D4" s="187" t="s">
        <v>1198</v>
      </c>
    </row>
    <row r="7" spans="1:4">
      <c r="A7" s="62" t="s">
        <v>419</v>
      </c>
      <c r="B7" s="62"/>
      <c r="C7" s="62"/>
      <c r="D7" s="62"/>
    </row>
    <row r="8" spans="1:4">
      <c r="A8" s="195" t="s">
        <v>30</v>
      </c>
      <c r="B8" s="195" t="s">
        <v>34</v>
      </c>
      <c r="C8" s="195" t="s">
        <v>349</v>
      </c>
      <c r="D8" s="195" t="s">
        <v>420</v>
      </c>
    </row>
    <row r="9" spans="1:4" ht="58">
      <c r="A9" s="194" t="s">
        <v>1199</v>
      </c>
      <c r="B9" s="187" t="s">
        <v>1200</v>
      </c>
      <c r="C9" s="188" t="s">
        <v>346</v>
      </c>
      <c r="D9" s="188" t="s">
        <v>421</v>
      </c>
    </row>
    <row r="10" spans="1:4" ht="72.5">
      <c r="A10" s="187" t="s">
        <v>1201</v>
      </c>
      <c r="B10" s="187" t="s">
        <v>1202</v>
      </c>
      <c r="C10" s="188" t="s">
        <v>346</v>
      </c>
      <c r="D10" s="188" t="s">
        <v>422</v>
      </c>
    </row>
    <row r="11" spans="1:4" ht="43.5">
      <c r="A11" s="187" t="s">
        <v>1203</v>
      </c>
      <c r="B11" s="187" t="s">
        <v>1204</v>
      </c>
      <c r="C11" s="188" t="s">
        <v>498</v>
      </c>
      <c r="D11" s="188" t="s">
        <v>423</v>
      </c>
    </row>
    <row r="12" spans="1:4" ht="72.5">
      <c r="A12" s="187" t="s">
        <v>1205</v>
      </c>
      <c r="B12" s="187" t="s">
        <v>1206</v>
      </c>
      <c r="C12" s="188" t="s">
        <v>346</v>
      </c>
      <c r="D12" s="188" t="s">
        <v>424</v>
      </c>
    </row>
    <row r="15" spans="1:4">
      <c r="A15" s="62" t="s">
        <v>425</v>
      </c>
      <c r="B15" s="62"/>
      <c r="C15" s="62"/>
      <c r="D15" s="62"/>
    </row>
    <row r="16" spans="1:4">
      <c r="A16" s="195" t="s">
        <v>30</v>
      </c>
      <c r="B16" s="195" t="s">
        <v>34</v>
      </c>
      <c r="C16" s="195" t="s">
        <v>349</v>
      </c>
      <c r="D16" s="195" t="s">
        <v>420</v>
      </c>
    </row>
    <row r="17" spans="1:4" ht="72.5">
      <c r="A17" s="187" t="s">
        <v>1207</v>
      </c>
      <c r="B17" s="187" t="s">
        <v>1208</v>
      </c>
      <c r="C17" s="188" t="s">
        <v>590</v>
      </c>
      <c r="D17" s="188" t="s">
        <v>426</v>
      </c>
    </row>
    <row r="18" spans="1:4" ht="72.5">
      <c r="A18" s="187" t="s">
        <v>181</v>
      </c>
      <c r="B18" s="187" t="s">
        <v>1208</v>
      </c>
      <c r="C18" s="188" t="s">
        <v>590</v>
      </c>
      <c r="D18" s="188" t="s">
        <v>426</v>
      </c>
    </row>
    <row r="21" spans="1:4">
      <c r="A21" s="62" t="s">
        <v>427</v>
      </c>
      <c r="B21" s="62"/>
      <c r="C21" s="62"/>
      <c r="D21" s="62"/>
    </row>
    <row r="22" spans="1:4">
      <c r="A22" s="195" t="s">
        <v>30</v>
      </c>
      <c r="B22" s="195" t="s">
        <v>34</v>
      </c>
      <c r="C22" s="195" t="s">
        <v>349</v>
      </c>
      <c r="D22" s="195" t="s">
        <v>420</v>
      </c>
    </row>
    <row r="23" spans="1:4" ht="27">
      <c r="A23" s="187" t="s">
        <v>1209</v>
      </c>
      <c r="B23" s="187" t="s">
        <v>834</v>
      </c>
      <c r="C23" s="188" t="s">
        <v>498</v>
      </c>
      <c r="D23" s="65" t="s">
        <v>749</v>
      </c>
    </row>
    <row r="24" spans="1:4" ht="43.5">
      <c r="A24" s="187" t="s">
        <v>1210</v>
      </c>
      <c r="B24" s="187" t="s">
        <v>835</v>
      </c>
      <c r="C24" s="188" t="s">
        <v>590</v>
      </c>
      <c r="D24" s="65" t="s">
        <v>750</v>
      </c>
    </row>
    <row r="25" spans="1:4" ht="27">
      <c r="A25" s="187" t="s">
        <v>1211</v>
      </c>
      <c r="B25" s="187" t="s">
        <v>836</v>
      </c>
      <c r="C25" s="188" t="s">
        <v>590</v>
      </c>
      <c r="D25" s="65" t="s">
        <v>751</v>
      </c>
    </row>
    <row r="26" spans="1:4" ht="27">
      <c r="A26" s="187" t="s">
        <v>1212</v>
      </c>
      <c r="B26" s="187" t="s">
        <v>837</v>
      </c>
      <c r="C26" s="188" t="s">
        <v>590</v>
      </c>
      <c r="D26" s="65" t="s">
        <v>752</v>
      </c>
    </row>
    <row r="27" spans="1:4" ht="27">
      <c r="A27" s="187" t="s">
        <v>1213</v>
      </c>
      <c r="B27" s="187" t="s">
        <v>1104</v>
      </c>
      <c r="C27" s="188" t="s">
        <v>590</v>
      </c>
      <c r="D27" s="65" t="s">
        <v>753</v>
      </c>
    </row>
    <row r="28" spans="1:4" ht="58">
      <c r="A28" s="187" t="s">
        <v>1214</v>
      </c>
      <c r="B28" s="187" t="s">
        <v>1122</v>
      </c>
      <c r="C28" s="188" t="s">
        <v>590</v>
      </c>
      <c r="D28" s="65" t="s">
        <v>754</v>
      </c>
    </row>
    <row r="29" spans="1:4" ht="27">
      <c r="A29" s="187" t="s">
        <v>1215</v>
      </c>
      <c r="B29" s="187" t="s">
        <v>1105</v>
      </c>
      <c r="C29" s="188" t="s">
        <v>590</v>
      </c>
      <c r="D29" s="65" t="s">
        <v>755</v>
      </c>
    </row>
    <row r="30" spans="1:4" ht="27">
      <c r="A30" s="187" t="s">
        <v>1216</v>
      </c>
      <c r="B30" s="187" t="s">
        <v>838</v>
      </c>
      <c r="C30" s="188" t="s">
        <v>590</v>
      </c>
      <c r="D30" s="65" t="s">
        <v>756</v>
      </c>
    </row>
    <row r="31" spans="1:4" ht="27">
      <c r="A31" s="187" t="s">
        <v>1217</v>
      </c>
      <c r="B31" s="187" t="s">
        <v>839</v>
      </c>
      <c r="C31" s="188" t="s">
        <v>590</v>
      </c>
      <c r="D31" s="65" t="s">
        <v>757</v>
      </c>
    </row>
    <row r="32" spans="1:4" ht="27">
      <c r="A32" s="187" t="s">
        <v>1218</v>
      </c>
      <c r="B32" s="187" t="s">
        <v>1106</v>
      </c>
      <c r="C32" s="188" t="s">
        <v>590</v>
      </c>
      <c r="D32" s="65" t="s">
        <v>758</v>
      </c>
    </row>
    <row r="33" spans="1:4" ht="27">
      <c r="A33" s="187" t="s">
        <v>571</v>
      </c>
      <c r="B33" s="187" t="s">
        <v>736</v>
      </c>
      <c r="C33" s="188" t="s">
        <v>498</v>
      </c>
      <c r="D33" s="65" t="s">
        <v>759</v>
      </c>
    </row>
    <row r="34" spans="1:4" ht="27">
      <c r="A34" s="187" t="s">
        <v>572</v>
      </c>
      <c r="B34" s="187" t="s">
        <v>1107</v>
      </c>
      <c r="C34" s="188" t="s">
        <v>346</v>
      </c>
      <c r="D34" s="65" t="s">
        <v>760</v>
      </c>
    </row>
    <row r="35" spans="1:4" ht="27">
      <c r="A35" s="187" t="s">
        <v>573</v>
      </c>
      <c r="B35" s="187" t="s">
        <v>840</v>
      </c>
      <c r="C35" s="188" t="s">
        <v>346</v>
      </c>
      <c r="D35" s="65" t="s">
        <v>761</v>
      </c>
    </row>
    <row r="36" spans="1:4" ht="27">
      <c r="A36" s="187" t="s">
        <v>574</v>
      </c>
      <c r="B36" s="187" t="s">
        <v>762</v>
      </c>
      <c r="C36" s="188" t="s">
        <v>498</v>
      </c>
      <c r="D36" s="65" t="s">
        <v>763</v>
      </c>
    </row>
    <row r="39" spans="1:4">
      <c r="A39" s="62" t="s">
        <v>428</v>
      </c>
      <c r="B39" s="62"/>
      <c r="C39" s="62"/>
      <c r="D39" s="62"/>
    </row>
    <row r="40" spans="1:4">
      <c r="A40" s="195" t="s">
        <v>30</v>
      </c>
      <c r="B40" s="195" t="s">
        <v>34</v>
      </c>
      <c r="C40" s="195" t="s">
        <v>349</v>
      </c>
      <c r="D40" s="195" t="s">
        <v>420</v>
      </c>
    </row>
    <row r="41" spans="1:4" ht="27">
      <c r="A41" s="187" t="s">
        <v>1219</v>
      </c>
      <c r="B41" s="187" t="s">
        <v>1108</v>
      </c>
      <c r="C41" s="188" t="s">
        <v>590</v>
      </c>
      <c r="D41" s="65" t="s">
        <v>751</v>
      </c>
    </row>
    <row r="42" spans="1:4" ht="27">
      <c r="A42" s="187" t="s">
        <v>1220</v>
      </c>
      <c r="B42" s="187" t="s">
        <v>1109</v>
      </c>
      <c r="C42" s="188" t="s">
        <v>590</v>
      </c>
      <c r="D42" s="65" t="s">
        <v>752</v>
      </c>
    </row>
    <row r="43" spans="1:4" ht="29">
      <c r="A43" s="187" t="s">
        <v>1221</v>
      </c>
      <c r="B43" s="187" t="s">
        <v>429</v>
      </c>
      <c r="C43" s="188" t="s">
        <v>498</v>
      </c>
      <c r="D43" s="65" t="s">
        <v>749</v>
      </c>
    </row>
    <row r="44" spans="1:4" ht="29">
      <c r="A44" s="187" t="s">
        <v>1222</v>
      </c>
      <c r="B44" s="187" t="s">
        <v>430</v>
      </c>
      <c r="C44" s="188" t="s">
        <v>498</v>
      </c>
      <c r="D44" s="65" t="s">
        <v>764</v>
      </c>
    </row>
    <row r="45" spans="1:4" ht="29">
      <c r="A45" s="187" t="s">
        <v>1223</v>
      </c>
      <c r="B45" s="187" t="s">
        <v>738</v>
      </c>
      <c r="C45" s="188" t="s">
        <v>498</v>
      </c>
      <c r="D45" s="65" t="s">
        <v>760</v>
      </c>
    </row>
    <row r="46" spans="1:4" ht="27">
      <c r="A46" s="187" t="s">
        <v>1224</v>
      </c>
      <c r="B46" s="187" t="s">
        <v>1110</v>
      </c>
      <c r="C46" s="188" t="s">
        <v>590</v>
      </c>
      <c r="D46" s="65" t="s">
        <v>753</v>
      </c>
    </row>
    <row r="47" spans="1:4" ht="27">
      <c r="A47" s="187" t="s">
        <v>1225</v>
      </c>
      <c r="B47" s="187" t="s">
        <v>1111</v>
      </c>
      <c r="C47" s="188" t="s">
        <v>590</v>
      </c>
      <c r="D47" s="65" t="s">
        <v>754</v>
      </c>
    </row>
    <row r="48" spans="1:4" ht="29">
      <c r="A48" s="187" t="s">
        <v>1226</v>
      </c>
      <c r="B48" s="187" t="s">
        <v>765</v>
      </c>
      <c r="C48" s="188" t="s">
        <v>498</v>
      </c>
      <c r="D48" s="65" t="s">
        <v>750</v>
      </c>
    </row>
    <row r="49" spans="1:4" ht="27">
      <c r="A49" s="187" t="s">
        <v>1227</v>
      </c>
      <c r="B49" s="187" t="s">
        <v>841</v>
      </c>
      <c r="C49" s="188" t="s">
        <v>590</v>
      </c>
      <c r="D49" s="65" t="s">
        <v>755</v>
      </c>
    </row>
    <row r="50" spans="1:4" ht="27">
      <c r="A50" s="187" t="s">
        <v>1228</v>
      </c>
      <c r="B50" s="187" t="s">
        <v>842</v>
      </c>
      <c r="C50" s="188" t="s">
        <v>590</v>
      </c>
      <c r="D50" s="65" t="s">
        <v>756</v>
      </c>
    </row>
    <row r="51" spans="1:4" ht="27">
      <c r="A51" s="187" t="s">
        <v>1229</v>
      </c>
      <c r="B51" s="187" t="s">
        <v>843</v>
      </c>
      <c r="C51" s="188" t="s">
        <v>590</v>
      </c>
      <c r="D51" s="65" t="s">
        <v>757</v>
      </c>
    </row>
    <row r="52" spans="1:4" ht="27">
      <c r="A52" s="187" t="s">
        <v>1230</v>
      </c>
      <c r="B52" s="187" t="s">
        <v>1112</v>
      </c>
      <c r="C52" s="188" t="s">
        <v>590</v>
      </c>
      <c r="D52" s="65" t="s">
        <v>758</v>
      </c>
    </row>
    <row r="53" spans="1:4" ht="29">
      <c r="A53" s="187" t="s">
        <v>1231</v>
      </c>
      <c r="B53" s="187" t="s">
        <v>766</v>
      </c>
      <c r="C53" s="188" t="s">
        <v>498</v>
      </c>
      <c r="D53" s="65" t="s">
        <v>763</v>
      </c>
    </row>
    <row r="54" spans="1:4" ht="43.5">
      <c r="A54" s="187" t="s">
        <v>575</v>
      </c>
      <c r="B54" s="187" t="s">
        <v>1241</v>
      </c>
      <c r="C54" s="188" t="s">
        <v>346</v>
      </c>
      <c r="D54" s="65" t="s">
        <v>759</v>
      </c>
    </row>
    <row r="55" spans="1:4" ht="29">
      <c r="A55" s="187" t="s">
        <v>1232</v>
      </c>
      <c r="B55" s="187" t="s">
        <v>431</v>
      </c>
      <c r="C55" s="188" t="s">
        <v>498</v>
      </c>
      <c r="D55" s="65" t="s">
        <v>767</v>
      </c>
    </row>
    <row r="56" spans="1:4" ht="27">
      <c r="A56" s="187" t="s">
        <v>737</v>
      </c>
      <c r="B56" s="187" t="s">
        <v>1113</v>
      </c>
      <c r="C56" s="188" t="s">
        <v>498</v>
      </c>
      <c r="D56" s="65" t="s">
        <v>761</v>
      </c>
    </row>
    <row r="57" spans="1:4" ht="27">
      <c r="A57" s="187" t="s">
        <v>1233</v>
      </c>
      <c r="B57" s="187" t="s">
        <v>1114</v>
      </c>
      <c r="C57" s="188" t="s">
        <v>590</v>
      </c>
      <c r="D57" s="65" t="s">
        <v>768</v>
      </c>
    </row>
    <row r="58" spans="1:4" ht="27">
      <c r="A58" s="187" t="s">
        <v>1234</v>
      </c>
      <c r="B58" s="187" t="s">
        <v>1115</v>
      </c>
      <c r="C58" s="188" t="s">
        <v>590</v>
      </c>
      <c r="D58" s="65" t="s">
        <v>769</v>
      </c>
    </row>
    <row r="59" spans="1:4" ht="27">
      <c r="A59" s="187" t="s">
        <v>1235</v>
      </c>
      <c r="B59" s="187" t="s">
        <v>1116</v>
      </c>
      <c r="C59" s="188" t="s">
        <v>590</v>
      </c>
      <c r="D59" s="65" t="s">
        <v>770</v>
      </c>
    </row>
    <row r="60" spans="1:4" ht="27">
      <c r="A60" s="187" t="s">
        <v>1236</v>
      </c>
      <c r="B60" s="187" t="s">
        <v>1117</v>
      </c>
      <c r="C60" s="188" t="s">
        <v>590</v>
      </c>
      <c r="D60" s="65" t="s">
        <v>771</v>
      </c>
    </row>
    <row r="61" spans="1:4" ht="27">
      <c r="A61" s="187" t="s">
        <v>1237</v>
      </c>
      <c r="B61" s="187" t="s">
        <v>1118</v>
      </c>
      <c r="C61" s="188" t="s">
        <v>590</v>
      </c>
      <c r="D61" s="65" t="s">
        <v>772</v>
      </c>
    </row>
    <row r="62" spans="1:4" ht="27">
      <c r="A62" s="187" t="s">
        <v>1238</v>
      </c>
      <c r="B62" s="187" t="s">
        <v>1119</v>
      </c>
      <c r="C62" s="188" t="s">
        <v>590</v>
      </c>
      <c r="D62" s="65" t="s">
        <v>773</v>
      </c>
    </row>
    <row r="63" spans="1:4" ht="27">
      <c r="A63" s="187" t="s">
        <v>1239</v>
      </c>
      <c r="B63" s="187" t="s">
        <v>1120</v>
      </c>
      <c r="C63" s="188" t="s">
        <v>590</v>
      </c>
      <c r="D63" s="65" t="s">
        <v>774</v>
      </c>
    </row>
    <row r="64" spans="1:4" ht="27">
      <c r="A64" s="187" t="s">
        <v>1240</v>
      </c>
      <c r="B64" s="187" t="s">
        <v>1121</v>
      </c>
      <c r="C64" s="188" t="s">
        <v>590</v>
      </c>
      <c r="D64" s="65" t="s">
        <v>775</v>
      </c>
    </row>
    <row r="67" spans="1:4">
      <c r="A67" s="62" t="s">
        <v>432</v>
      </c>
      <c r="B67" s="62"/>
      <c r="C67" s="62"/>
      <c r="D67" s="62"/>
    </row>
    <row r="68" spans="1:4">
      <c r="A68" s="195" t="s">
        <v>30</v>
      </c>
      <c r="B68" s="195" t="s">
        <v>34</v>
      </c>
      <c r="C68" s="195" t="s">
        <v>349</v>
      </c>
      <c r="D68" s="195" t="s">
        <v>420</v>
      </c>
    </row>
    <row r="69" spans="1:4" ht="43.5">
      <c r="A69" s="187" t="s">
        <v>1242</v>
      </c>
      <c r="B69" s="187" t="s">
        <v>1020</v>
      </c>
      <c r="C69" s="188" t="s">
        <v>346</v>
      </c>
      <c r="D69" s="64" t="s">
        <v>433</v>
      </c>
    </row>
    <row r="70" spans="1:4" ht="14.5">
      <c r="A70" s="187" t="s">
        <v>1243</v>
      </c>
      <c r="B70" s="187" t="s">
        <v>1266</v>
      </c>
      <c r="C70" s="188" t="s">
        <v>498</v>
      </c>
      <c r="D70" s="64" t="s">
        <v>434</v>
      </c>
    </row>
    <row r="71" spans="1:4" ht="14.5">
      <c r="A71" s="187" t="s">
        <v>1244</v>
      </c>
      <c r="B71" s="187" t="s">
        <v>1267</v>
      </c>
      <c r="C71" s="188" t="s">
        <v>346</v>
      </c>
      <c r="D71" s="64" t="s">
        <v>435</v>
      </c>
    </row>
    <row r="72" spans="1:4" ht="14.5">
      <c r="A72" s="187" t="s">
        <v>1245</v>
      </c>
      <c r="B72" s="187" t="s">
        <v>1268</v>
      </c>
      <c r="C72" s="188" t="s">
        <v>590</v>
      </c>
      <c r="D72" s="64" t="s">
        <v>436</v>
      </c>
    </row>
    <row r="73" spans="1:4" ht="14.5">
      <c r="A73" s="187" t="s">
        <v>1246</v>
      </c>
      <c r="B73" s="187" t="s">
        <v>1269</v>
      </c>
      <c r="C73" s="188" t="s">
        <v>590</v>
      </c>
      <c r="D73" s="64" t="s">
        <v>437</v>
      </c>
    </row>
    <row r="74" spans="1:4" ht="14.5">
      <c r="A74" s="187" t="s">
        <v>1247</v>
      </c>
      <c r="B74" s="187" t="s">
        <v>1270</v>
      </c>
      <c r="C74" s="188" t="s">
        <v>346</v>
      </c>
      <c r="D74" s="64" t="s">
        <v>438</v>
      </c>
    </row>
    <row r="75" spans="1:4" ht="14.5">
      <c r="A75" s="187" t="s">
        <v>1248</v>
      </c>
      <c r="B75" s="187" t="s">
        <v>1271</v>
      </c>
      <c r="C75" s="188" t="s">
        <v>590</v>
      </c>
      <c r="D75" s="64" t="s">
        <v>439</v>
      </c>
    </row>
    <row r="76" spans="1:4" ht="14.5">
      <c r="A76" s="187" t="s">
        <v>1249</v>
      </c>
      <c r="B76" s="187" t="s">
        <v>1272</v>
      </c>
      <c r="C76" s="188" t="s">
        <v>590</v>
      </c>
      <c r="D76" s="64" t="s">
        <v>440</v>
      </c>
    </row>
    <row r="77" spans="1:4" ht="14.5">
      <c r="A77" s="187" t="s">
        <v>1250</v>
      </c>
      <c r="B77" s="187" t="s">
        <v>1273</v>
      </c>
      <c r="C77" s="188" t="s">
        <v>590</v>
      </c>
      <c r="D77" s="64" t="s">
        <v>441</v>
      </c>
    </row>
    <row r="78" spans="1:4" ht="14.5">
      <c r="A78" s="187" t="s">
        <v>1251</v>
      </c>
      <c r="B78" s="187" t="s">
        <v>1274</v>
      </c>
      <c r="C78" s="188" t="s">
        <v>590</v>
      </c>
      <c r="D78" s="64" t="s">
        <v>442</v>
      </c>
    </row>
    <row r="79" spans="1:4" ht="14.5">
      <c r="A79" s="187" t="s">
        <v>1252</v>
      </c>
      <c r="B79" s="187" t="s">
        <v>1275</v>
      </c>
      <c r="C79" s="188" t="s">
        <v>590</v>
      </c>
      <c r="D79" s="64" t="s">
        <v>443</v>
      </c>
    </row>
    <row r="80" spans="1:4" ht="14.5">
      <c r="A80" s="187" t="s">
        <v>1253</v>
      </c>
      <c r="B80" s="187" t="s">
        <v>1276</v>
      </c>
      <c r="C80" s="188" t="s">
        <v>590</v>
      </c>
      <c r="D80" s="64" t="s">
        <v>444</v>
      </c>
    </row>
    <row r="81" spans="1:4" ht="43.5">
      <c r="A81" s="187" t="s">
        <v>1254</v>
      </c>
      <c r="B81" s="187" t="s">
        <v>1021</v>
      </c>
      <c r="C81" s="188" t="s">
        <v>346</v>
      </c>
      <c r="D81" s="64" t="s">
        <v>445</v>
      </c>
    </row>
    <row r="82" spans="1:4" ht="14.5">
      <c r="A82" s="187" t="s">
        <v>1255</v>
      </c>
      <c r="B82" s="187" t="s">
        <v>1277</v>
      </c>
      <c r="C82" s="188" t="s">
        <v>498</v>
      </c>
      <c r="D82" s="64" t="s">
        <v>446</v>
      </c>
    </row>
    <row r="83" spans="1:4" ht="14.5">
      <c r="A83" s="187" t="s">
        <v>1256</v>
      </c>
      <c r="B83" s="187" t="s">
        <v>1278</v>
      </c>
      <c r="C83" s="188" t="s">
        <v>346</v>
      </c>
      <c r="D83" s="64" t="s">
        <v>447</v>
      </c>
    </row>
    <row r="84" spans="1:4" ht="14.5">
      <c r="A84" s="187" t="s">
        <v>1257</v>
      </c>
      <c r="B84" s="187" t="s">
        <v>1279</v>
      </c>
      <c r="C84" s="188" t="s">
        <v>590</v>
      </c>
      <c r="D84" s="64" t="s">
        <v>448</v>
      </c>
    </row>
    <row r="85" spans="1:4" ht="14.5">
      <c r="A85" s="187" t="s">
        <v>1258</v>
      </c>
      <c r="B85" s="187" t="s">
        <v>1280</v>
      </c>
      <c r="C85" s="188" t="s">
        <v>590</v>
      </c>
      <c r="D85" s="64" t="s">
        <v>449</v>
      </c>
    </row>
    <row r="86" spans="1:4" ht="14.5">
      <c r="A86" s="187" t="s">
        <v>1259</v>
      </c>
      <c r="B86" s="187" t="s">
        <v>1281</v>
      </c>
      <c r="C86" s="188" t="s">
        <v>346</v>
      </c>
      <c r="D86" s="64" t="s">
        <v>450</v>
      </c>
    </row>
    <row r="87" spans="1:4" ht="14.5">
      <c r="A87" s="187" t="s">
        <v>1260</v>
      </c>
      <c r="B87" s="187" t="s">
        <v>1282</v>
      </c>
      <c r="C87" s="188" t="s">
        <v>590</v>
      </c>
      <c r="D87" s="64" t="s">
        <v>451</v>
      </c>
    </row>
    <row r="88" spans="1:4" ht="14.5">
      <c r="A88" s="187" t="s">
        <v>1261</v>
      </c>
      <c r="B88" s="187" t="s">
        <v>1283</v>
      </c>
      <c r="C88" s="188" t="s">
        <v>590</v>
      </c>
      <c r="D88" s="64" t="s">
        <v>452</v>
      </c>
    </row>
    <row r="89" spans="1:4" ht="14.5">
      <c r="A89" s="187" t="s">
        <v>1262</v>
      </c>
      <c r="B89" s="187" t="s">
        <v>1284</v>
      </c>
      <c r="C89" s="188" t="s">
        <v>590</v>
      </c>
      <c r="D89" s="64" t="s">
        <v>453</v>
      </c>
    </row>
    <row r="90" spans="1:4" ht="14.5">
      <c r="A90" s="187" t="s">
        <v>1263</v>
      </c>
      <c r="B90" s="187" t="s">
        <v>1285</v>
      </c>
      <c r="C90" s="188" t="s">
        <v>590</v>
      </c>
      <c r="D90" s="64" t="s">
        <v>454</v>
      </c>
    </row>
    <row r="91" spans="1:4" ht="14.5">
      <c r="A91" s="187" t="s">
        <v>1264</v>
      </c>
      <c r="B91" s="187" t="s">
        <v>1286</v>
      </c>
      <c r="C91" s="188" t="s">
        <v>590</v>
      </c>
      <c r="D91" s="64" t="s">
        <v>455</v>
      </c>
    </row>
    <row r="92" spans="1:4" ht="14.5">
      <c r="A92" s="187" t="s">
        <v>1265</v>
      </c>
      <c r="B92" s="187" t="s">
        <v>1287</v>
      </c>
      <c r="C92" s="188" t="s">
        <v>590</v>
      </c>
      <c r="D92" s="64" t="s">
        <v>456</v>
      </c>
    </row>
    <row r="95" spans="1:4">
      <c r="A95" s="62" t="s">
        <v>457</v>
      </c>
      <c r="B95" s="62"/>
      <c r="C95" s="62"/>
      <c r="D95" s="62"/>
    </row>
    <row r="96" spans="1:4">
      <c r="A96" s="195" t="s">
        <v>30</v>
      </c>
      <c r="B96" s="195" t="s">
        <v>34</v>
      </c>
      <c r="C96" s="195" t="s">
        <v>349</v>
      </c>
      <c r="D96" s="195" t="s">
        <v>420</v>
      </c>
    </row>
    <row r="97" spans="1:4" ht="14.5">
      <c r="A97" s="187" t="s">
        <v>1288</v>
      </c>
      <c r="B97" s="187" t="s">
        <v>1324</v>
      </c>
      <c r="C97" s="188" t="s">
        <v>498</v>
      </c>
      <c r="D97" s="64" t="s">
        <v>445</v>
      </c>
    </row>
    <row r="98" spans="1:4" ht="14.5">
      <c r="A98" s="187" t="s">
        <v>1289</v>
      </c>
      <c r="B98" s="187" t="s">
        <v>1325</v>
      </c>
      <c r="C98" s="188" t="s">
        <v>498</v>
      </c>
      <c r="D98" s="64" t="s">
        <v>446</v>
      </c>
    </row>
    <row r="99" spans="1:4" ht="14.5">
      <c r="A99" s="187" t="s">
        <v>1290</v>
      </c>
      <c r="B99" s="187" t="s">
        <v>1326</v>
      </c>
      <c r="C99" s="188" t="s">
        <v>346</v>
      </c>
      <c r="D99" s="64" t="s">
        <v>447</v>
      </c>
    </row>
    <row r="100" spans="1:4" ht="14.5">
      <c r="A100" s="187" t="s">
        <v>1291</v>
      </c>
      <c r="B100" s="187" t="s">
        <v>1327</v>
      </c>
      <c r="C100" s="188" t="s">
        <v>346</v>
      </c>
      <c r="D100" s="64" t="s">
        <v>448</v>
      </c>
    </row>
    <row r="101" spans="1:4" ht="14.5">
      <c r="A101" s="187" t="s">
        <v>1292</v>
      </c>
      <c r="B101" s="187" t="s">
        <v>1328</v>
      </c>
      <c r="C101" s="188" t="s">
        <v>498</v>
      </c>
      <c r="D101" s="64" t="s">
        <v>449</v>
      </c>
    </row>
    <row r="102" spans="1:4" ht="14.5">
      <c r="A102" s="187" t="s">
        <v>1293</v>
      </c>
      <c r="B102" s="187" t="s">
        <v>1329</v>
      </c>
      <c r="C102" s="188" t="s">
        <v>498</v>
      </c>
      <c r="D102" s="64" t="s">
        <v>450</v>
      </c>
    </row>
    <row r="103" spans="1:4" ht="14.5">
      <c r="A103" s="187" t="s">
        <v>1294</v>
      </c>
      <c r="B103" s="187" t="s">
        <v>1330</v>
      </c>
      <c r="C103" s="188" t="s">
        <v>346</v>
      </c>
      <c r="D103" s="64" t="s">
        <v>451</v>
      </c>
    </row>
    <row r="104" spans="1:4" ht="14.5">
      <c r="A104" s="187" t="s">
        <v>1295</v>
      </c>
      <c r="B104" s="187" t="s">
        <v>1331</v>
      </c>
      <c r="C104" s="188" t="s">
        <v>346</v>
      </c>
      <c r="D104" s="64" t="s">
        <v>452</v>
      </c>
    </row>
    <row r="105" spans="1:4" ht="14.5">
      <c r="A105" s="187" t="s">
        <v>1296</v>
      </c>
      <c r="B105" s="187" t="s">
        <v>1332</v>
      </c>
      <c r="C105" s="188" t="s">
        <v>498</v>
      </c>
      <c r="D105" s="64" t="s">
        <v>453</v>
      </c>
    </row>
    <row r="106" spans="1:4" ht="14.5">
      <c r="A106" s="187" t="s">
        <v>1297</v>
      </c>
      <c r="B106" s="187" t="s">
        <v>1333</v>
      </c>
      <c r="C106" s="188" t="s">
        <v>498</v>
      </c>
      <c r="D106" s="64" t="s">
        <v>454</v>
      </c>
    </row>
    <row r="107" spans="1:4" ht="14.5">
      <c r="A107" s="187" t="s">
        <v>1298</v>
      </c>
      <c r="B107" s="187" t="s">
        <v>1334</v>
      </c>
      <c r="C107" s="188" t="s">
        <v>346</v>
      </c>
      <c r="D107" s="64" t="s">
        <v>455</v>
      </c>
    </row>
    <row r="108" spans="1:4" ht="14.5">
      <c r="A108" s="187" t="s">
        <v>1299</v>
      </c>
      <c r="B108" s="187" t="s">
        <v>1335</v>
      </c>
      <c r="C108" s="188" t="s">
        <v>346</v>
      </c>
      <c r="D108" s="64" t="s">
        <v>456</v>
      </c>
    </row>
    <row r="109" spans="1:4" ht="27">
      <c r="A109" s="187" t="s">
        <v>576</v>
      </c>
      <c r="B109" s="187" t="s">
        <v>1336</v>
      </c>
      <c r="C109" s="188" t="s">
        <v>498</v>
      </c>
      <c r="D109" s="65" t="s">
        <v>577</v>
      </c>
    </row>
    <row r="110" spans="1:4" ht="27">
      <c r="A110" s="187" t="s">
        <v>578</v>
      </c>
      <c r="B110" s="187" t="s">
        <v>1337</v>
      </c>
      <c r="C110" s="188" t="s">
        <v>346</v>
      </c>
      <c r="D110" s="65" t="s">
        <v>579</v>
      </c>
    </row>
    <row r="111" spans="1:4" ht="14.5">
      <c r="A111" s="187" t="s">
        <v>1300</v>
      </c>
      <c r="B111" s="187" t="s">
        <v>1338</v>
      </c>
      <c r="C111" s="188" t="s">
        <v>498</v>
      </c>
      <c r="D111" s="64" t="s">
        <v>458</v>
      </c>
    </row>
    <row r="112" spans="1:4" ht="14.5">
      <c r="A112" s="187" t="s">
        <v>1301</v>
      </c>
      <c r="B112" s="187" t="s">
        <v>1339</v>
      </c>
      <c r="C112" s="188" t="s">
        <v>498</v>
      </c>
      <c r="D112" s="64" t="s">
        <v>459</v>
      </c>
    </row>
    <row r="113" spans="1:4" ht="14.5">
      <c r="A113" s="187" t="s">
        <v>1302</v>
      </c>
      <c r="B113" s="187" t="s">
        <v>1340</v>
      </c>
      <c r="C113" s="188" t="s">
        <v>346</v>
      </c>
      <c r="D113" s="64" t="s">
        <v>460</v>
      </c>
    </row>
    <row r="114" spans="1:4" ht="14.5">
      <c r="A114" s="187" t="s">
        <v>1303</v>
      </c>
      <c r="B114" s="187" t="s">
        <v>1341</v>
      </c>
      <c r="C114" s="188" t="s">
        <v>346</v>
      </c>
      <c r="D114" s="64" t="s">
        <v>461</v>
      </c>
    </row>
    <row r="115" spans="1:4" ht="14.5">
      <c r="A115" s="187" t="s">
        <v>1304</v>
      </c>
      <c r="B115" s="187" t="s">
        <v>1342</v>
      </c>
      <c r="C115" s="188" t="s">
        <v>498</v>
      </c>
      <c r="D115" s="64" t="s">
        <v>462</v>
      </c>
    </row>
    <row r="116" spans="1:4" ht="14.5">
      <c r="A116" s="187" t="s">
        <v>1305</v>
      </c>
      <c r="B116" s="187" t="s">
        <v>1343</v>
      </c>
      <c r="C116" s="188" t="s">
        <v>498</v>
      </c>
      <c r="D116" s="64" t="s">
        <v>463</v>
      </c>
    </row>
    <row r="117" spans="1:4" ht="14.5">
      <c r="A117" s="187" t="s">
        <v>1306</v>
      </c>
      <c r="B117" s="187" t="s">
        <v>1344</v>
      </c>
      <c r="C117" s="188" t="s">
        <v>346</v>
      </c>
      <c r="D117" s="64" t="s">
        <v>464</v>
      </c>
    </row>
    <row r="118" spans="1:4" ht="14.5">
      <c r="A118" s="187" t="s">
        <v>1307</v>
      </c>
      <c r="B118" s="187" t="s">
        <v>1345</v>
      </c>
      <c r="C118" s="188" t="s">
        <v>346</v>
      </c>
      <c r="D118" s="64" t="s">
        <v>465</v>
      </c>
    </row>
    <row r="119" spans="1:4" ht="14.5">
      <c r="A119" s="187" t="s">
        <v>1308</v>
      </c>
      <c r="B119" s="187" t="s">
        <v>1346</v>
      </c>
      <c r="C119" s="188" t="s">
        <v>498</v>
      </c>
      <c r="D119" s="64" t="s">
        <v>421</v>
      </c>
    </row>
    <row r="120" spans="1:4" ht="14.5">
      <c r="A120" s="187" t="s">
        <v>1309</v>
      </c>
      <c r="B120" s="187" t="s">
        <v>1347</v>
      </c>
      <c r="C120" s="188" t="s">
        <v>498</v>
      </c>
      <c r="D120" s="64" t="s">
        <v>422</v>
      </c>
    </row>
    <row r="121" spans="1:4" ht="14.5">
      <c r="A121" s="187" t="s">
        <v>1310</v>
      </c>
      <c r="B121" s="187" t="s">
        <v>1348</v>
      </c>
      <c r="C121" s="188" t="s">
        <v>346</v>
      </c>
      <c r="D121" s="64" t="s">
        <v>423</v>
      </c>
    </row>
    <row r="122" spans="1:4" ht="14.5">
      <c r="A122" s="187" t="s">
        <v>1311</v>
      </c>
      <c r="B122" s="187" t="s">
        <v>1349</v>
      </c>
      <c r="C122" s="188" t="s">
        <v>346</v>
      </c>
      <c r="D122" s="64" t="s">
        <v>424</v>
      </c>
    </row>
    <row r="123" spans="1:4" ht="14.5">
      <c r="A123" s="187" t="s">
        <v>580</v>
      </c>
      <c r="B123" s="187" t="s">
        <v>1350</v>
      </c>
      <c r="C123" s="188" t="s">
        <v>498</v>
      </c>
      <c r="D123" s="64" t="s">
        <v>435</v>
      </c>
    </row>
    <row r="124" spans="1:4" ht="14.5">
      <c r="A124" s="187" t="s">
        <v>581</v>
      </c>
      <c r="B124" s="187" t="s">
        <v>1351</v>
      </c>
      <c r="C124" s="188" t="s">
        <v>346</v>
      </c>
      <c r="D124" s="64" t="s">
        <v>436</v>
      </c>
    </row>
    <row r="125" spans="1:4" ht="14.5">
      <c r="A125" s="187" t="s">
        <v>1312</v>
      </c>
      <c r="B125" s="187" t="s">
        <v>1352</v>
      </c>
      <c r="C125" s="188" t="s">
        <v>498</v>
      </c>
      <c r="D125" s="64" t="s">
        <v>466</v>
      </c>
    </row>
    <row r="126" spans="1:4" ht="14.5">
      <c r="A126" s="187" t="s">
        <v>1313</v>
      </c>
      <c r="B126" s="187" t="s">
        <v>1353</v>
      </c>
      <c r="C126" s="188" t="s">
        <v>498</v>
      </c>
      <c r="D126" s="64" t="s">
        <v>467</v>
      </c>
    </row>
    <row r="127" spans="1:4" ht="14.5">
      <c r="A127" s="187" t="s">
        <v>1314</v>
      </c>
      <c r="B127" s="187" t="s">
        <v>1354</v>
      </c>
      <c r="C127" s="188" t="s">
        <v>346</v>
      </c>
      <c r="D127" s="64" t="s">
        <v>468</v>
      </c>
    </row>
    <row r="128" spans="1:4" ht="14.5">
      <c r="A128" s="187" t="s">
        <v>1315</v>
      </c>
      <c r="B128" s="187" t="s">
        <v>1355</v>
      </c>
      <c r="C128" s="188" t="s">
        <v>346</v>
      </c>
      <c r="D128" s="64" t="s">
        <v>469</v>
      </c>
    </row>
    <row r="129" spans="1:10" ht="14.5">
      <c r="A129" s="187" t="s">
        <v>1316</v>
      </c>
      <c r="B129" s="187" t="s">
        <v>1356</v>
      </c>
      <c r="C129" s="188" t="s">
        <v>498</v>
      </c>
      <c r="D129" s="64" t="s">
        <v>470</v>
      </c>
    </row>
    <row r="130" spans="1:10" ht="14.5">
      <c r="A130" s="187" t="s">
        <v>1317</v>
      </c>
      <c r="B130" s="187" t="s">
        <v>1357</v>
      </c>
      <c r="C130" s="188" t="s">
        <v>498</v>
      </c>
      <c r="D130" s="64" t="s">
        <v>471</v>
      </c>
    </row>
    <row r="131" spans="1:10" ht="14.5">
      <c r="A131" s="187" t="s">
        <v>1318</v>
      </c>
      <c r="B131" s="187" t="s">
        <v>1358</v>
      </c>
      <c r="C131" s="188" t="s">
        <v>346</v>
      </c>
      <c r="D131" s="64" t="s">
        <v>472</v>
      </c>
    </row>
    <row r="132" spans="1:10" ht="14.5">
      <c r="A132" s="187" t="s">
        <v>1319</v>
      </c>
      <c r="B132" s="187" t="s">
        <v>1359</v>
      </c>
      <c r="C132" s="188" t="s">
        <v>346</v>
      </c>
      <c r="D132" s="64" t="s">
        <v>473</v>
      </c>
    </row>
    <row r="133" spans="1:10" ht="14.5">
      <c r="A133" s="187" t="s">
        <v>1320</v>
      </c>
      <c r="B133" s="187" t="s">
        <v>1360</v>
      </c>
      <c r="C133" s="188" t="s">
        <v>498</v>
      </c>
      <c r="D133" s="64" t="s">
        <v>474</v>
      </c>
    </row>
    <row r="134" spans="1:10" ht="14.5">
      <c r="A134" s="187" t="s">
        <v>1321</v>
      </c>
      <c r="B134" s="187" t="s">
        <v>1361</v>
      </c>
      <c r="C134" s="188" t="s">
        <v>498</v>
      </c>
      <c r="D134" s="64" t="s">
        <v>475</v>
      </c>
    </row>
    <row r="135" spans="1:10" ht="14.5">
      <c r="A135" s="187" t="s">
        <v>1322</v>
      </c>
      <c r="B135" s="187" t="s">
        <v>1362</v>
      </c>
      <c r="C135" s="188" t="s">
        <v>346</v>
      </c>
      <c r="D135" s="64" t="s">
        <v>476</v>
      </c>
    </row>
    <row r="136" spans="1:10" ht="14.5">
      <c r="A136" s="187" t="s">
        <v>1323</v>
      </c>
      <c r="B136" s="187" t="s">
        <v>1363</v>
      </c>
      <c r="C136" s="188" t="s">
        <v>346</v>
      </c>
      <c r="D136" s="64" t="s">
        <v>477</v>
      </c>
    </row>
    <row r="137" spans="1:10" ht="27">
      <c r="A137" s="187" t="s">
        <v>582</v>
      </c>
      <c r="B137" s="187" t="s">
        <v>1364</v>
      </c>
      <c r="C137" s="188" t="s">
        <v>498</v>
      </c>
      <c r="D137" s="65" t="s">
        <v>584</v>
      </c>
    </row>
    <row r="138" spans="1:10" ht="27">
      <c r="A138" s="187" t="s">
        <v>583</v>
      </c>
      <c r="B138" s="187" t="s">
        <v>1365</v>
      </c>
      <c r="C138" s="188" t="s">
        <v>346</v>
      </c>
      <c r="D138" s="65" t="s">
        <v>585</v>
      </c>
    </row>
    <row r="139" spans="1:10" ht="72.5">
      <c r="A139" s="187" t="s">
        <v>1366</v>
      </c>
      <c r="B139" s="187" t="s">
        <v>1378</v>
      </c>
      <c r="C139" s="188" t="s">
        <v>590</v>
      </c>
      <c r="D139" s="187" t="s">
        <v>776</v>
      </c>
    </row>
    <row r="140" spans="1:10" ht="72.5">
      <c r="A140" s="187" t="s">
        <v>1367</v>
      </c>
      <c r="B140" s="187" t="s">
        <v>1379</v>
      </c>
      <c r="C140" s="188" t="s">
        <v>590</v>
      </c>
      <c r="D140" s="187" t="s">
        <v>777</v>
      </c>
      <c r="H140" s="66"/>
      <c r="I140" s="66"/>
      <c r="J140" s="66"/>
    </row>
    <row r="141" spans="1:10" ht="72.5">
      <c r="A141" s="187" t="s">
        <v>1368</v>
      </c>
      <c r="B141" s="187" t="s">
        <v>1380</v>
      </c>
      <c r="C141" s="188" t="s">
        <v>590</v>
      </c>
      <c r="D141" s="187" t="s">
        <v>778</v>
      </c>
      <c r="H141" s="66"/>
      <c r="I141" s="66"/>
      <c r="J141" s="66"/>
    </row>
    <row r="142" spans="1:10" ht="72.5">
      <c r="A142" s="187" t="s">
        <v>1369</v>
      </c>
      <c r="B142" s="187" t="s">
        <v>1381</v>
      </c>
      <c r="C142" s="188" t="s">
        <v>590</v>
      </c>
      <c r="D142" s="187" t="s">
        <v>779</v>
      </c>
      <c r="H142" s="66"/>
      <c r="I142" s="66"/>
      <c r="J142" s="66"/>
    </row>
    <row r="143" spans="1:10" ht="72.5">
      <c r="A143" s="187" t="s">
        <v>1370</v>
      </c>
      <c r="B143" s="187" t="s">
        <v>1382</v>
      </c>
      <c r="C143" s="188" t="s">
        <v>590</v>
      </c>
      <c r="D143" s="187" t="s">
        <v>780</v>
      </c>
      <c r="H143" s="66"/>
      <c r="I143" s="66"/>
      <c r="J143" s="66"/>
    </row>
    <row r="144" spans="1:10" ht="72.5">
      <c r="A144" s="187" t="s">
        <v>1371</v>
      </c>
      <c r="B144" s="187" t="s">
        <v>1383</v>
      </c>
      <c r="C144" s="188" t="s">
        <v>590</v>
      </c>
      <c r="D144" s="187" t="s">
        <v>781</v>
      </c>
      <c r="H144" s="66"/>
      <c r="I144" s="66"/>
      <c r="J144" s="66"/>
    </row>
    <row r="145" spans="1:12" ht="54">
      <c r="A145" s="187" t="s">
        <v>1372</v>
      </c>
      <c r="B145" s="187" t="s">
        <v>1384</v>
      </c>
      <c r="C145" s="188" t="s">
        <v>590</v>
      </c>
      <c r="D145" s="193" t="s">
        <v>782</v>
      </c>
      <c r="H145" s="66"/>
      <c r="I145" s="66"/>
      <c r="J145" s="66"/>
    </row>
    <row r="146" spans="1:12" ht="54">
      <c r="A146" s="187" t="s">
        <v>1373</v>
      </c>
      <c r="B146" s="187" t="s">
        <v>1385</v>
      </c>
      <c r="C146" s="188" t="s">
        <v>498</v>
      </c>
      <c r="D146" s="193" t="s">
        <v>783</v>
      </c>
      <c r="H146" s="66"/>
      <c r="I146" s="66"/>
      <c r="J146" s="66"/>
    </row>
    <row r="147" spans="1:12" ht="54">
      <c r="A147" s="187" t="s">
        <v>1374</v>
      </c>
      <c r="B147" s="187" t="s">
        <v>1386</v>
      </c>
      <c r="C147" s="188" t="s">
        <v>590</v>
      </c>
      <c r="D147" s="193" t="s">
        <v>784</v>
      </c>
      <c r="H147" s="66"/>
      <c r="I147" s="66"/>
      <c r="J147" s="66"/>
    </row>
    <row r="148" spans="1:12" ht="54">
      <c r="A148" s="187" t="s">
        <v>1375</v>
      </c>
      <c r="B148" s="187" t="s">
        <v>1387</v>
      </c>
      <c r="C148" s="188" t="s">
        <v>498</v>
      </c>
      <c r="D148" s="193" t="s">
        <v>785</v>
      </c>
      <c r="H148" s="66"/>
      <c r="I148" s="66"/>
      <c r="J148" s="66"/>
    </row>
    <row r="149" spans="1:12" ht="54">
      <c r="A149" s="187" t="s">
        <v>1376</v>
      </c>
      <c r="B149" s="187" t="s">
        <v>1388</v>
      </c>
      <c r="C149" s="188" t="s">
        <v>590</v>
      </c>
      <c r="D149" s="193" t="s">
        <v>786</v>
      </c>
      <c r="H149" s="66"/>
      <c r="I149" s="66"/>
      <c r="J149" s="66"/>
    </row>
    <row r="150" spans="1:12" ht="54">
      <c r="A150" s="187" t="s">
        <v>1377</v>
      </c>
      <c r="B150" s="187" t="s">
        <v>1389</v>
      </c>
      <c r="C150" s="188" t="s">
        <v>498</v>
      </c>
      <c r="D150" s="193" t="s">
        <v>787</v>
      </c>
      <c r="H150" s="66"/>
      <c r="I150" s="66"/>
      <c r="J150" s="66"/>
    </row>
    <row r="151" spans="1:12">
      <c r="H151" s="66"/>
      <c r="I151" s="66"/>
      <c r="J151" s="66"/>
    </row>
    <row r="157" spans="1:12">
      <c r="A157" s="62" t="s">
        <v>478</v>
      </c>
      <c r="B157" s="62"/>
      <c r="C157" s="62"/>
      <c r="D157" s="62"/>
    </row>
    <row r="158" spans="1:12">
      <c r="A158" s="195" t="s">
        <v>30</v>
      </c>
      <c r="B158" s="195" t="s">
        <v>34</v>
      </c>
      <c r="C158" s="195" t="s">
        <v>349</v>
      </c>
      <c r="D158" s="195" t="s">
        <v>420</v>
      </c>
    </row>
    <row r="159" spans="1:12" ht="87">
      <c r="A159" s="187" t="s">
        <v>1390</v>
      </c>
      <c r="B159" s="187" t="s">
        <v>1394</v>
      </c>
      <c r="C159" s="188" t="s">
        <v>590</v>
      </c>
      <c r="D159" s="187" t="s">
        <v>844</v>
      </c>
      <c r="E159" s="66"/>
      <c r="I159" s="66"/>
      <c r="J159" s="66"/>
      <c r="K159" s="66"/>
      <c r="L159" s="66"/>
    </row>
    <row r="160" spans="1:12" ht="87">
      <c r="A160" s="187" t="s">
        <v>1391</v>
      </c>
      <c r="B160" s="187" t="s">
        <v>1395</v>
      </c>
      <c r="C160" s="188" t="s">
        <v>590</v>
      </c>
      <c r="D160" s="187" t="s">
        <v>845</v>
      </c>
      <c r="E160" s="66"/>
      <c r="I160" s="66"/>
      <c r="J160" s="66"/>
      <c r="K160" s="66"/>
      <c r="L160" s="66"/>
    </row>
    <row r="161" spans="1:12" ht="87">
      <c r="A161" s="187" t="s">
        <v>1392</v>
      </c>
      <c r="B161" s="187" t="s">
        <v>1396</v>
      </c>
      <c r="C161" s="188" t="s">
        <v>590</v>
      </c>
      <c r="D161" s="187" t="s">
        <v>846</v>
      </c>
      <c r="E161" s="66"/>
      <c r="I161" s="66"/>
      <c r="J161" s="66"/>
      <c r="K161" s="66"/>
      <c r="L161" s="66"/>
    </row>
    <row r="162" spans="1:12" ht="87">
      <c r="A162" s="187" t="s">
        <v>1393</v>
      </c>
      <c r="B162" s="187" t="s">
        <v>1397</v>
      </c>
      <c r="C162" s="188" t="s">
        <v>590</v>
      </c>
      <c r="D162" s="187" t="s">
        <v>847</v>
      </c>
      <c r="E162" s="66"/>
      <c r="I162" s="66"/>
      <c r="J162" s="66"/>
      <c r="K162" s="66"/>
      <c r="L162" s="66"/>
    </row>
    <row r="166" spans="1:12">
      <c r="A166" s="62" t="s">
        <v>586</v>
      </c>
      <c r="B166" s="62"/>
      <c r="C166" s="62"/>
      <c r="D166" s="62"/>
    </row>
    <row r="167" spans="1:12">
      <c r="A167" s="195" t="s">
        <v>30</v>
      </c>
      <c r="B167" s="195" t="s">
        <v>34</v>
      </c>
      <c r="C167" s="195" t="s">
        <v>349</v>
      </c>
      <c r="D167" s="195" t="s">
        <v>420</v>
      </c>
    </row>
    <row r="168" spans="1:12" ht="108">
      <c r="A168" s="187" t="s">
        <v>1398</v>
      </c>
      <c r="B168" s="187" t="s">
        <v>1402</v>
      </c>
      <c r="C168" s="188" t="s">
        <v>590</v>
      </c>
      <c r="D168" s="65" t="s">
        <v>1022</v>
      </c>
    </row>
    <row r="169" spans="1:12" ht="108">
      <c r="A169" s="187" t="s">
        <v>1399</v>
      </c>
      <c r="B169" s="187" t="s">
        <v>1403</v>
      </c>
      <c r="C169" s="188" t="s">
        <v>590</v>
      </c>
      <c r="D169" s="65" t="s">
        <v>1023</v>
      </c>
    </row>
    <row r="170" spans="1:12" ht="108">
      <c r="A170" s="187" t="s">
        <v>1045</v>
      </c>
      <c r="B170" s="187" t="s">
        <v>1047</v>
      </c>
      <c r="C170" s="188" t="s">
        <v>498</v>
      </c>
      <c r="D170" s="65" t="s">
        <v>1046</v>
      </c>
    </row>
    <row r="171" spans="1:12" ht="108">
      <c r="A171" s="187" t="s">
        <v>1400</v>
      </c>
      <c r="B171" s="187" t="s">
        <v>1404</v>
      </c>
      <c r="C171" s="188" t="s">
        <v>590</v>
      </c>
      <c r="D171" s="65" t="s">
        <v>1024</v>
      </c>
    </row>
    <row r="172" spans="1:12" ht="108">
      <c r="A172" s="187" t="s">
        <v>1401</v>
      </c>
      <c r="B172" s="187" t="s">
        <v>1405</v>
      </c>
      <c r="C172" s="188" t="s">
        <v>590</v>
      </c>
      <c r="D172" s="65" t="s">
        <v>1025</v>
      </c>
    </row>
    <row r="173" spans="1:12" ht="108">
      <c r="A173" s="187" t="s">
        <v>1042</v>
      </c>
      <c r="B173" s="187" t="s">
        <v>1043</v>
      </c>
      <c r="C173" s="188" t="s">
        <v>498</v>
      </c>
      <c r="D173" s="65" t="s">
        <v>1044</v>
      </c>
    </row>
    <row r="175" spans="1:12">
      <c r="A175" s="62" t="s">
        <v>479</v>
      </c>
      <c r="B175" s="62"/>
      <c r="C175" s="62"/>
      <c r="D175" s="62"/>
    </row>
    <row r="176" spans="1:12">
      <c r="A176" s="195" t="s">
        <v>30</v>
      </c>
      <c r="B176" s="195" t="s">
        <v>34</v>
      </c>
      <c r="C176" s="195" t="s">
        <v>349</v>
      </c>
      <c r="D176" s="195" t="s">
        <v>420</v>
      </c>
    </row>
    <row r="177" spans="1:10" ht="40.5">
      <c r="A177" s="187" t="s">
        <v>1406</v>
      </c>
      <c r="B177" s="187" t="s">
        <v>1424</v>
      </c>
      <c r="C177" s="188" t="s">
        <v>498</v>
      </c>
      <c r="D177" s="65" t="s">
        <v>788</v>
      </c>
      <c r="H177" s="66"/>
      <c r="I177" s="66"/>
      <c r="J177" s="66"/>
    </row>
    <row r="178" spans="1:10" ht="40.5">
      <c r="A178" s="187" t="s">
        <v>1407</v>
      </c>
      <c r="B178" s="187" t="s">
        <v>848</v>
      </c>
      <c r="C178" s="188" t="s">
        <v>498</v>
      </c>
      <c r="D178" s="65" t="s">
        <v>789</v>
      </c>
      <c r="H178" s="66"/>
      <c r="I178" s="66"/>
      <c r="J178" s="66"/>
    </row>
    <row r="179" spans="1:10" ht="40.5">
      <c r="A179" s="187" t="s">
        <v>1408</v>
      </c>
      <c r="B179" s="187" t="s">
        <v>849</v>
      </c>
      <c r="C179" s="188" t="s">
        <v>346</v>
      </c>
      <c r="D179" s="65" t="s">
        <v>790</v>
      </c>
      <c r="H179" s="66"/>
      <c r="I179" s="66"/>
      <c r="J179" s="66"/>
    </row>
    <row r="180" spans="1:10" ht="40.5">
      <c r="A180" s="187" t="s">
        <v>1409</v>
      </c>
      <c r="B180" s="187" t="s">
        <v>850</v>
      </c>
      <c r="C180" s="188" t="s">
        <v>498</v>
      </c>
      <c r="D180" s="65" t="s">
        <v>791</v>
      </c>
      <c r="H180" s="66"/>
      <c r="I180" s="66"/>
      <c r="J180" s="66"/>
    </row>
    <row r="181" spans="1:10" ht="40.5">
      <c r="A181" s="187" t="s">
        <v>1410</v>
      </c>
      <c r="B181" s="187" t="s">
        <v>851</v>
      </c>
      <c r="C181" s="188" t="s">
        <v>498</v>
      </c>
      <c r="D181" s="65" t="s">
        <v>792</v>
      </c>
      <c r="H181" s="66"/>
      <c r="I181" s="66"/>
      <c r="J181" s="66"/>
    </row>
    <row r="182" spans="1:10" ht="40.5">
      <c r="A182" s="187" t="s">
        <v>1411</v>
      </c>
      <c r="B182" s="187" t="s">
        <v>852</v>
      </c>
      <c r="C182" s="188" t="s">
        <v>498</v>
      </c>
      <c r="D182" s="65" t="s">
        <v>793</v>
      </c>
      <c r="H182" s="66"/>
      <c r="I182" s="66"/>
      <c r="J182" s="66"/>
    </row>
    <row r="183" spans="1:10" ht="40.5">
      <c r="A183" s="187" t="s">
        <v>1412</v>
      </c>
      <c r="B183" s="187" t="s">
        <v>853</v>
      </c>
      <c r="C183" s="188" t="s">
        <v>498</v>
      </c>
      <c r="D183" s="65" t="s">
        <v>794</v>
      </c>
      <c r="H183" s="66"/>
      <c r="I183" s="66"/>
      <c r="J183" s="66"/>
    </row>
    <row r="184" spans="1:10" ht="40.5">
      <c r="A184" s="187" t="s">
        <v>1413</v>
      </c>
      <c r="B184" s="187" t="s">
        <v>1425</v>
      </c>
      <c r="C184" s="188" t="s">
        <v>346</v>
      </c>
      <c r="D184" s="65" t="s">
        <v>795</v>
      </c>
      <c r="H184" s="66"/>
      <c r="I184" s="66"/>
      <c r="J184" s="66"/>
    </row>
    <row r="185" spans="1:10" ht="40.5">
      <c r="A185" s="187" t="s">
        <v>1414</v>
      </c>
      <c r="B185" s="187" t="s">
        <v>854</v>
      </c>
      <c r="C185" s="188" t="s">
        <v>498</v>
      </c>
      <c r="D185" s="65" t="s">
        <v>796</v>
      </c>
      <c r="H185" s="66"/>
      <c r="I185" s="66"/>
      <c r="J185" s="66"/>
    </row>
    <row r="186" spans="1:10" ht="40.5">
      <c r="A186" s="187" t="s">
        <v>1415</v>
      </c>
      <c r="B186" s="187" t="s">
        <v>855</v>
      </c>
      <c r="C186" s="188" t="s">
        <v>498</v>
      </c>
      <c r="D186" s="65" t="s">
        <v>797</v>
      </c>
      <c r="H186" s="66"/>
      <c r="I186" s="66"/>
      <c r="J186" s="66"/>
    </row>
    <row r="187" spans="1:10" ht="40.5">
      <c r="A187" s="187" t="s">
        <v>1416</v>
      </c>
      <c r="B187" s="187" t="s">
        <v>1426</v>
      </c>
      <c r="C187" s="188" t="s">
        <v>346</v>
      </c>
      <c r="D187" s="65" t="s">
        <v>798</v>
      </c>
      <c r="H187" s="66"/>
      <c r="I187" s="66"/>
      <c r="J187" s="66"/>
    </row>
    <row r="188" spans="1:10" ht="40.5">
      <c r="A188" s="187" t="s">
        <v>1417</v>
      </c>
      <c r="B188" s="187" t="s">
        <v>856</v>
      </c>
      <c r="C188" s="188" t="s">
        <v>346</v>
      </c>
      <c r="D188" s="65" t="s">
        <v>799</v>
      </c>
      <c r="H188" s="66"/>
      <c r="I188" s="66"/>
      <c r="J188" s="66"/>
    </row>
    <row r="189" spans="1:10" ht="40.5">
      <c r="A189" s="187" t="s">
        <v>1418</v>
      </c>
      <c r="B189" s="187" t="s">
        <v>857</v>
      </c>
      <c r="C189" s="188" t="s">
        <v>498</v>
      </c>
      <c r="D189" s="65" t="s">
        <v>800</v>
      </c>
      <c r="H189" s="66"/>
      <c r="I189" s="66"/>
      <c r="J189" s="66"/>
    </row>
    <row r="190" spans="1:10" ht="40.5">
      <c r="A190" s="187" t="s">
        <v>1419</v>
      </c>
      <c r="B190" s="187" t="s">
        <v>858</v>
      </c>
      <c r="C190" s="188" t="s">
        <v>346</v>
      </c>
      <c r="D190" s="65" t="s">
        <v>801</v>
      </c>
      <c r="H190" s="66"/>
      <c r="I190" s="66"/>
      <c r="J190" s="66"/>
    </row>
    <row r="191" spans="1:10" ht="40.5">
      <c r="A191" s="187" t="s">
        <v>1420</v>
      </c>
      <c r="B191" s="187" t="s">
        <v>859</v>
      </c>
      <c r="C191" s="188" t="s">
        <v>346</v>
      </c>
      <c r="D191" s="65" t="s">
        <v>802</v>
      </c>
      <c r="H191" s="66"/>
      <c r="I191" s="66"/>
      <c r="J191" s="66"/>
    </row>
    <row r="192" spans="1:10" ht="40.5">
      <c r="A192" s="187" t="s">
        <v>1421</v>
      </c>
      <c r="B192" s="187" t="s">
        <v>1427</v>
      </c>
      <c r="C192" s="188" t="s">
        <v>346</v>
      </c>
      <c r="D192" s="65" t="s">
        <v>803</v>
      </c>
      <c r="H192" s="66"/>
      <c r="I192" s="66"/>
      <c r="J192" s="66"/>
    </row>
    <row r="193" spans="1:10" ht="40.5">
      <c r="A193" s="187" t="s">
        <v>1422</v>
      </c>
      <c r="B193" s="187" t="s">
        <v>860</v>
      </c>
      <c r="C193" s="188" t="s">
        <v>498</v>
      </c>
      <c r="D193" s="65" t="s">
        <v>804</v>
      </c>
      <c r="H193" s="66"/>
      <c r="I193" s="66"/>
      <c r="J193" s="66"/>
    </row>
    <row r="194" spans="1:10" ht="40.5">
      <c r="A194" s="187" t="s">
        <v>1423</v>
      </c>
      <c r="B194" s="187" t="s">
        <v>861</v>
      </c>
      <c r="C194" s="188" t="s">
        <v>346</v>
      </c>
      <c r="D194" s="65" t="s">
        <v>805</v>
      </c>
      <c r="H194" s="66"/>
      <c r="I194" s="66"/>
      <c r="J194" s="66"/>
    </row>
    <row r="197" spans="1:10">
      <c r="A197" s="62" t="s">
        <v>480</v>
      </c>
      <c r="B197" s="62"/>
      <c r="C197" s="62"/>
      <c r="D197" s="62"/>
    </row>
    <row r="198" spans="1:10">
      <c r="A198" s="195" t="s">
        <v>30</v>
      </c>
      <c r="B198" s="195" t="s">
        <v>34</v>
      </c>
      <c r="C198" s="195" t="s">
        <v>349</v>
      </c>
      <c r="D198" s="195" t="s">
        <v>420</v>
      </c>
    </row>
    <row r="199" spans="1:10" ht="40.5">
      <c r="A199" s="187" t="s">
        <v>1428</v>
      </c>
      <c r="B199" s="187" t="s">
        <v>862</v>
      </c>
      <c r="C199" s="188" t="s">
        <v>346</v>
      </c>
      <c r="D199" s="65" t="s">
        <v>806</v>
      </c>
      <c r="G199" s="66"/>
      <c r="H199" s="66"/>
      <c r="I199" s="66"/>
    </row>
    <row r="200" spans="1:10" ht="40.5">
      <c r="A200" s="187" t="s">
        <v>1429</v>
      </c>
      <c r="B200" s="187" t="s">
        <v>863</v>
      </c>
      <c r="C200" s="188" t="s">
        <v>498</v>
      </c>
      <c r="D200" s="65" t="s">
        <v>807</v>
      </c>
      <c r="G200" s="66"/>
      <c r="H200" s="66"/>
      <c r="I200" s="66"/>
    </row>
    <row r="201" spans="1:10" ht="40.5">
      <c r="A201" s="187" t="s">
        <v>1430</v>
      </c>
      <c r="B201" s="187" t="s">
        <v>1436</v>
      </c>
      <c r="C201" s="188" t="s">
        <v>498</v>
      </c>
      <c r="D201" s="65" t="s">
        <v>808</v>
      </c>
      <c r="G201" s="66"/>
      <c r="H201" s="66"/>
      <c r="I201" s="66"/>
    </row>
    <row r="202" spans="1:10" ht="40.5">
      <c r="A202" s="187" t="s">
        <v>1431</v>
      </c>
      <c r="B202" s="187" t="s">
        <v>1437</v>
      </c>
      <c r="C202" s="188" t="s">
        <v>346</v>
      </c>
      <c r="D202" s="65" t="s">
        <v>809</v>
      </c>
      <c r="G202" s="66"/>
      <c r="H202" s="66"/>
      <c r="I202" s="66"/>
    </row>
    <row r="203" spans="1:10" ht="40.5">
      <c r="A203" s="187" t="s">
        <v>1432</v>
      </c>
      <c r="B203" s="187" t="s">
        <v>864</v>
      </c>
      <c r="C203" s="188" t="s">
        <v>346</v>
      </c>
      <c r="D203" s="65" t="s">
        <v>810</v>
      </c>
      <c r="G203" s="66"/>
      <c r="H203" s="66"/>
      <c r="I203" s="66"/>
    </row>
    <row r="204" spans="1:10" ht="40.5">
      <c r="A204" s="187" t="s">
        <v>1433</v>
      </c>
      <c r="B204" s="187" t="s">
        <v>865</v>
      </c>
      <c r="C204" s="188" t="s">
        <v>498</v>
      </c>
      <c r="D204" s="65" t="s">
        <v>811</v>
      </c>
      <c r="G204" s="66"/>
      <c r="H204" s="66"/>
      <c r="I204" s="66"/>
    </row>
    <row r="205" spans="1:10" ht="40.5">
      <c r="A205" s="187" t="s">
        <v>1434</v>
      </c>
      <c r="B205" s="187" t="s">
        <v>866</v>
      </c>
      <c r="C205" s="188" t="s">
        <v>498</v>
      </c>
      <c r="D205" s="65" t="s">
        <v>812</v>
      </c>
      <c r="G205" s="66"/>
      <c r="H205" s="66"/>
      <c r="I205" s="66"/>
    </row>
    <row r="206" spans="1:10" ht="40.5">
      <c r="A206" s="187" t="s">
        <v>1435</v>
      </c>
      <c r="B206" s="187" t="s">
        <v>867</v>
      </c>
      <c r="C206" s="188" t="s">
        <v>346</v>
      </c>
      <c r="D206" s="65" t="s">
        <v>813</v>
      </c>
      <c r="G206" s="66"/>
      <c r="H206" s="66"/>
      <c r="I206" s="66"/>
    </row>
    <row r="209" spans="1:4">
      <c r="A209" s="62" t="s">
        <v>481</v>
      </c>
      <c r="B209" s="62"/>
      <c r="C209" s="62"/>
      <c r="D209" s="62"/>
    </row>
    <row r="210" spans="1:4">
      <c r="A210" s="195" t="s">
        <v>30</v>
      </c>
      <c r="B210" s="195" t="s">
        <v>34</v>
      </c>
      <c r="C210" s="195" t="s">
        <v>349</v>
      </c>
      <c r="D210" s="195" t="s">
        <v>420</v>
      </c>
    </row>
    <row r="211" spans="1:4" ht="27">
      <c r="A211" s="64" t="s">
        <v>190</v>
      </c>
      <c r="B211" s="65" t="s">
        <v>868</v>
      </c>
      <c r="C211" s="64" t="s">
        <v>272</v>
      </c>
      <c r="D211" s="65" t="s">
        <v>482</v>
      </c>
    </row>
    <row r="212" spans="1:4" ht="40.5">
      <c r="A212" s="64" t="s">
        <v>191</v>
      </c>
      <c r="B212" s="65" t="s">
        <v>1026</v>
      </c>
      <c r="C212" s="64" t="s">
        <v>272</v>
      </c>
      <c r="D212" s="65" t="s">
        <v>483</v>
      </c>
    </row>
    <row r="213" spans="1:4" ht="40.5">
      <c r="A213" s="64" t="s">
        <v>192</v>
      </c>
      <c r="B213" s="65" t="s">
        <v>1027</v>
      </c>
      <c r="C213" s="64" t="s">
        <v>272</v>
      </c>
      <c r="D213" s="65" t="s">
        <v>484</v>
      </c>
    </row>
    <row r="214" spans="1:4" ht="40.5">
      <c r="A214" s="64" t="s">
        <v>193</v>
      </c>
      <c r="B214" s="65" t="s">
        <v>1028</v>
      </c>
      <c r="C214" s="64" t="s">
        <v>272</v>
      </c>
      <c r="D214" s="65" t="s">
        <v>485</v>
      </c>
    </row>
    <row r="215" spans="1:4" ht="40.5">
      <c r="A215" s="64" t="s">
        <v>194</v>
      </c>
      <c r="B215" s="65" t="s">
        <v>1029</v>
      </c>
      <c r="C215" s="64" t="s">
        <v>272</v>
      </c>
      <c r="D215" s="65" t="s">
        <v>486</v>
      </c>
    </row>
    <row r="216" spans="1:4" ht="54">
      <c r="A216" s="64" t="s">
        <v>195</v>
      </c>
      <c r="B216" s="65" t="s">
        <v>1030</v>
      </c>
      <c r="C216" s="64" t="s">
        <v>272</v>
      </c>
      <c r="D216" s="65" t="s">
        <v>487</v>
      </c>
    </row>
    <row r="217" spans="1:4" ht="54">
      <c r="A217" s="64" t="s">
        <v>196</v>
      </c>
      <c r="B217" s="65" t="s">
        <v>1031</v>
      </c>
      <c r="C217" s="64" t="s">
        <v>272</v>
      </c>
      <c r="D217" s="65" t="s">
        <v>488</v>
      </c>
    </row>
    <row r="218" spans="1:4" ht="54">
      <c r="A218" s="64" t="s">
        <v>197</v>
      </c>
      <c r="B218" s="65" t="s">
        <v>1032</v>
      </c>
      <c r="C218" s="64" t="s">
        <v>272</v>
      </c>
      <c r="D218" s="65" t="s">
        <v>489</v>
      </c>
    </row>
    <row r="219" spans="1:4" ht="54">
      <c r="A219" s="64" t="s">
        <v>198</v>
      </c>
      <c r="B219" s="65" t="s">
        <v>1033</v>
      </c>
      <c r="C219" s="64" t="s">
        <v>272</v>
      </c>
      <c r="D219" s="65" t="s">
        <v>490</v>
      </c>
    </row>
    <row r="220" spans="1:4" ht="54">
      <c r="A220" s="64" t="s">
        <v>199</v>
      </c>
      <c r="B220" s="65" t="s">
        <v>1034</v>
      </c>
      <c r="C220" s="64" t="s">
        <v>272</v>
      </c>
      <c r="D220" s="65" t="s">
        <v>491</v>
      </c>
    </row>
    <row r="221" spans="1:4" ht="54">
      <c r="A221" s="64" t="s">
        <v>200</v>
      </c>
      <c r="B221" s="65" t="s">
        <v>1035</v>
      </c>
      <c r="C221" s="64" t="s">
        <v>272</v>
      </c>
      <c r="D221" s="65" t="s">
        <v>492</v>
      </c>
    </row>
    <row r="222" spans="1:4" ht="54">
      <c r="A222" s="64" t="s">
        <v>201</v>
      </c>
      <c r="B222" s="65" t="s">
        <v>1036</v>
      </c>
      <c r="C222" s="64" t="s">
        <v>272</v>
      </c>
      <c r="D222" s="65" t="s">
        <v>493</v>
      </c>
    </row>
    <row r="223" spans="1:4" ht="40.5">
      <c r="A223" s="64" t="s">
        <v>202</v>
      </c>
      <c r="B223" s="65" t="s">
        <v>1037</v>
      </c>
      <c r="C223" s="64" t="s">
        <v>272</v>
      </c>
      <c r="D223" s="65" t="s">
        <v>494</v>
      </c>
    </row>
    <row r="224" spans="1:4" ht="40.5">
      <c r="A224" s="64" t="s">
        <v>203</v>
      </c>
      <c r="B224" s="65" t="s">
        <v>1038</v>
      </c>
      <c r="C224" s="64" t="s">
        <v>272</v>
      </c>
      <c r="D224" s="65" t="s">
        <v>495</v>
      </c>
    </row>
    <row r="225" spans="1:4" ht="40.5">
      <c r="A225" s="64" t="s">
        <v>204</v>
      </c>
      <c r="B225" s="65" t="s">
        <v>1039</v>
      </c>
      <c r="C225" s="64" t="s">
        <v>272</v>
      </c>
      <c r="D225" s="65" t="s">
        <v>496</v>
      </c>
    </row>
    <row r="226" spans="1:4" ht="40.5">
      <c r="A226" s="67" t="s">
        <v>205</v>
      </c>
      <c r="B226" s="68" t="s">
        <v>1040</v>
      </c>
      <c r="C226" s="67" t="s">
        <v>498</v>
      </c>
      <c r="D226" s="65" t="s">
        <v>497</v>
      </c>
    </row>
    <row r="227" spans="1:4" ht="40.5">
      <c r="A227" s="64" t="s">
        <v>206</v>
      </c>
      <c r="B227" s="65" t="s">
        <v>1041</v>
      </c>
      <c r="C227" s="64" t="s">
        <v>498</v>
      </c>
      <c r="D227" s="65" t="s">
        <v>499</v>
      </c>
    </row>
  </sheetData>
  <sheetProtection selectLockedCells="1" selectUnlockedCells="1"/>
  <phoneticPr fontId="18"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3EFB6-7C7D-4E46-85E9-C9359DE7BFC3}">
  <sheetPr codeName="Sheet10"/>
  <dimension ref="A3:D5"/>
  <sheetViews>
    <sheetView workbookViewId="0">
      <selection activeCell="D9" sqref="D9"/>
    </sheetView>
  </sheetViews>
  <sheetFormatPr defaultColWidth="8.81640625" defaultRowHeight="13.5"/>
  <cols>
    <col min="1" max="1" width="11.1796875" style="61" bestFit="1" customWidth="1"/>
    <col min="2" max="2" width="12.453125" style="61" bestFit="1" customWidth="1"/>
    <col min="3" max="3" width="49.81640625" style="61" customWidth="1"/>
    <col min="4" max="4" width="72.1796875" style="61" customWidth="1"/>
    <col min="5" max="16384" width="8.81640625" style="61"/>
  </cols>
  <sheetData>
    <row r="3" spans="1:4">
      <c r="A3" s="61" t="s">
        <v>30</v>
      </c>
      <c r="B3" s="61" t="s">
        <v>255</v>
      </c>
      <c r="C3" s="61" t="s">
        <v>254</v>
      </c>
      <c r="D3" s="61" t="s">
        <v>31</v>
      </c>
    </row>
    <row r="4" spans="1:4" ht="14.5">
      <c r="A4" s="186" t="s">
        <v>208</v>
      </c>
      <c r="B4" s="186" t="s">
        <v>501</v>
      </c>
      <c r="C4" s="186" t="s">
        <v>500</v>
      </c>
      <c r="D4" s="186" t="s">
        <v>1438</v>
      </c>
    </row>
    <row r="5" spans="1:4" ht="58">
      <c r="A5" s="186" t="s">
        <v>317</v>
      </c>
      <c r="B5" s="186" t="s">
        <v>1103</v>
      </c>
      <c r="C5" s="186" t="s">
        <v>569</v>
      </c>
      <c r="D5" s="186" t="s">
        <v>1439</v>
      </c>
    </row>
  </sheetData>
  <sheetProtection selectLockedCells="1" selectUnlockedCells="1"/>
  <phoneticPr fontId="18"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0236B-1571-400E-8015-AF6D9204B851}">
  <sheetPr codeName="Sheet13"/>
  <dimension ref="A1:M90"/>
  <sheetViews>
    <sheetView zoomScale="70" zoomScaleNormal="70" workbookViewId="0">
      <selection activeCell="A10" sqref="A10"/>
    </sheetView>
  </sheetViews>
  <sheetFormatPr defaultColWidth="15.81640625" defaultRowHeight="14.5"/>
  <cols>
    <col min="1" max="1" width="27.54296875" customWidth="1"/>
    <col min="2" max="2" width="31" bestFit="1" customWidth="1"/>
    <col min="3" max="3" width="15.1796875" customWidth="1"/>
    <col min="4" max="4" width="41.1796875" bestFit="1" customWidth="1"/>
    <col min="5" max="5" width="86.81640625" bestFit="1" customWidth="1"/>
    <col min="6" max="6" width="7.1796875" bestFit="1" customWidth="1"/>
    <col min="7" max="7" width="31.81640625" bestFit="1" customWidth="1"/>
    <col min="8" max="8" width="40.81640625" bestFit="1" customWidth="1"/>
    <col min="9" max="9" width="19.1796875" bestFit="1" customWidth="1"/>
    <col min="10" max="10" width="39" bestFit="1" customWidth="1"/>
    <col min="11" max="11" width="8.54296875" bestFit="1" customWidth="1"/>
    <col min="12" max="12" width="20" bestFit="1" customWidth="1"/>
    <col min="13" max="13" width="38.1796875" customWidth="1"/>
  </cols>
  <sheetData>
    <row r="1" spans="1:13">
      <c r="A1" t="s">
        <v>502</v>
      </c>
      <c r="B1" t="s">
        <v>503</v>
      </c>
      <c r="C1" t="s">
        <v>504</v>
      </c>
      <c r="D1" t="s">
        <v>505</v>
      </c>
      <c r="E1" t="s">
        <v>56</v>
      </c>
      <c r="F1" t="s">
        <v>506</v>
      </c>
      <c r="G1" t="s">
        <v>507</v>
      </c>
      <c r="H1" t="s">
        <v>508</v>
      </c>
      <c r="I1" t="s">
        <v>103</v>
      </c>
      <c r="J1" t="s">
        <v>167</v>
      </c>
      <c r="K1" t="s">
        <v>509</v>
      </c>
      <c r="L1" t="s">
        <v>480</v>
      </c>
      <c r="M1" t="s">
        <v>600</v>
      </c>
    </row>
    <row r="2" spans="1:13">
      <c r="A2" t="s">
        <v>510</v>
      </c>
      <c r="B2" t="s">
        <v>511</v>
      </c>
      <c r="D2" t="s">
        <v>512</v>
      </c>
      <c r="E2" t="s">
        <v>513</v>
      </c>
      <c r="H2" t="s">
        <v>514</v>
      </c>
      <c r="I2" t="s">
        <v>104</v>
      </c>
      <c r="J2" t="s">
        <v>419</v>
      </c>
      <c r="L2" t="s">
        <v>481</v>
      </c>
    </row>
    <row r="3" spans="1:13">
      <c r="D3" t="s">
        <v>515</v>
      </c>
      <c r="H3" t="s">
        <v>516</v>
      </c>
      <c r="I3" t="s">
        <v>105</v>
      </c>
      <c r="J3" t="s">
        <v>425</v>
      </c>
      <c r="L3" t="s">
        <v>586</v>
      </c>
    </row>
    <row r="4" spans="1:13">
      <c r="D4" t="s">
        <v>517</v>
      </c>
      <c r="H4" t="s">
        <v>518</v>
      </c>
      <c r="J4" t="s">
        <v>427</v>
      </c>
    </row>
    <row r="5" spans="1:13">
      <c r="D5" t="s">
        <v>519</v>
      </c>
      <c r="H5" t="s">
        <v>520</v>
      </c>
      <c r="J5" t="s">
        <v>428</v>
      </c>
    </row>
    <row r="6" spans="1:13">
      <c r="D6" t="s">
        <v>521</v>
      </c>
      <c r="J6" t="s">
        <v>432</v>
      </c>
    </row>
    <row r="7" spans="1:13">
      <c r="D7" t="s">
        <v>522</v>
      </c>
      <c r="J7" t="s">
        <v>457</v>
      </c>
    </row>
    <row r="8" spans="1:13">
      <c r="J8" t="s">
        <v>478</v>
      </c>
    </row>
    <row r="9" spans="1:13" s="36" customFormat="1" ht="15" thickBot="1">
      <c r="J9" s="36" t="s">
        <v>479</v>
      </c>
    </row>
    <row r="10" spans="1:13" ht="15" thickTop="1">
      <c r="A10" t="s">
        <v>1502</v>
      </c>
      <c r="B10" t="s">
        <v>523</v>
      </c>
      <c r="C10" t="s">
        <v>524</v>
      </c>
      <c r="D10" t="s">
        <v>1125</v>
      </c>
      <c r="E10" t="s">
        <v>525</v>
      </c>
      <c r="G10" t="s">
        <v>526</v>
      </c>
      <c r="H10" t="s">
        <v>527</v>
      </c>
      <c r="I10" t="s">
        <v>528</v>
      </c>
      <c r="J10" t="s">
        <v>524</v>
      </c>
      <c r="L10" t="s">
        <v>529</v>
      </c>
      <c r="M10" t="s">
        <v>599</v>
      </c>
    </row>
    <row r="11" spans="1:13">
      <c r="D11" t="s">
        <v>524</v>
      </c>
      <c r="G11" t="s">
        <v>530</v>
      </c>
      <c r="H11" t="s">
        <v>524</v>
      </c>
      <c r="J11" t="s">
        <v>531</v>
      </c>
    </row>
    <row r="12" spans="1:13">
      <c r="J12" t="s">
        <v>532</v>
      </c>
    </row>
    <row r="20" spans="4:12">
      <c r="D20" t="s">
        <v>533</v>
      </c>
      <c r="E20" t="s">
        <v>815</v>
      </c>
      <c r="H20" t="s">
        <v>534</v>
      </c>
      <c r="I20" t="s">
        <v>535</v>
      </c>
      <c r="J20" t="s">
        <v>536</v>
      </c>
      <c r="L20" t="s">
        <v>537</v>
      </c>
    </row>
    <row r="21" spans="4:12">
      <c r="E21" t="s">
        <v>815</v>
      </c>
      <c r="H21" t="s">
        <v>538</v>
      </c>
    </row>
    <row r="22" spans="4:12">
      <c r="E22" t="s">
        <v>816</v>
      </c>
    </row>
    <row r="23" spans="4:12">
      <c r="E23" t="s">
        <v>817</v>
      </c>
    </row>
    <row r="24" spans="4:12">
      <c r="E24" t="s">
        <v>539</v>
      </c>
    </row>
    <row r="25" spans="4:12">
      <c r="E25" t="s">
        <v>540</v>
      </c>
    </row>
    <row r="26" spans="4:12">
      <c r="E26" t="s">
        <v>541</v>
      </c>
    </row>
    <row r="27" spans="4:12">
      <c r="E27" t="s">
        <v>542</v>
      </c>
    </row>
    <row r="28" spans="4:12">
      <c r="E28" t="s">
        <v>543</v>
      </c>
    </row>
    <row r="29" spans="4:12">
      <c r="E29" t="s">
        <v>544</v>
      </c>
    </row>
    <row r="30" spans="4:12">
      <c r="D30" t="s">
        <v>545</v>
      </c>
      <c r="H30" t="s">
        <v>546</v>
      </c>
      <c r="I30" t="s">
        <v>547</v>
      </c>
      <c r="J30" t="s">
        <v>548</v>
      </c>
      <c r="L30" t="s">
        <v>588</v>
      </c>
    </row>
    <row r="31" spans="4:12">
      <c r="H31" t="s">
        <v>549</v>
      </c>
    </row>
    <row r="40" spans="4:10">
      <c r="D40" t="s">
        <v>550</v>
      </c>
      <c r="H40" t="s">
        <v>551</v>
      </c>
      <c r="I40" t="s">
        <v>675</v>
      </c>
      <c r="J40" t="s">
        <v>552</v>
      </c>
    </row>
    <row r="41" spans="4:10">
      <c r="H41" t="s">
        <v>553</v>
      </c>
    </row>
    <row r="50" spans="4:10">
      <c r="D50" t="s">
        <v>554</v>
      </c>
      <c r="H50" t="s">
        <v>555</v>
      </c>
      <c r="I50" t="s">
        <v>676</v>
      </c>
      <c r="J50" t="s">
        <v>556</v>
      </c>
    </row>
    <row r="51" spans="4:10">
      <c r="H51" t="s">
        <v>557</v>
      </c>
    </row>
    <row r="60" spans="4:10">
      <c r="D60" t="s">
        <v>558</v>
      </c>
      <c r="I60" t="s">
        <v>677</v>
      </c>
      <c r="J60" t="s">
        <v>559</v>
      </c>
    </row>
    <row r="61" spans="4:10">
      <c r="D61" t="s">
        <v>560</v>
      </c>
    </row>
    <row r="70" spans="4:10">
      <c r="D70" t="s">
        <v>561</v>
      </c>
      <c r="J70" t="s">
        <v>562</v>
      </c>
    </row>
    <row r="71" spans="4:10">
      <c r="D71" t="s">
        <v>682</v>
      </c>
    </row>
    <row r="80" spans="4:10">
      <c r="J80" t="s">
        <v>563</v>
      </c>
    </row>
    <row r="90" spans="10:10">
      <c r="J90" t="s">
        <v>564</v>
      </c>
    </row>
  </sheetData>
  <sheetProtection selectLockedCells="1" selectUnlockedCells="1"/>
  <phoneticPr fontId="1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Update_SDMIO_hint" altText="Click to update SDMIO hint.">
                <anchor moveWithCells="1" sizeWithCells="1">
                  <from>
                    <xdr:col>4</xdr:col>
                    <xdr:colOff>114300</xdr:colOff>
                    <xdr:row>16</xdr:row>
                    <xdr:rowOff>69850</xdr:rowOff>
                  </from>
                  <to>
                    <xdr:col>4</xdr:col>
                    <xdr:colOff>2546350</xdr:colOff>
                    <xdr:row>18</xdr:row>
                    <xdr:rowOff>190500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D0AD6CA6AEFE0240859A10AFB6540AC7" ma:contentTypeVersion="6" ma:contentTypeDescription="Create a new document." ma:contentTypeScope="" ma:versionID="93d39ecb951d50b99fc2ad01a498470a">
  <xsd:schema xmlns:xsd="http://www.w3.org/2001/XMLSchema" xmlns:xs="http://www.w3.org/2001/XMLSchema" xmlns:p="http://schemas.microsoft.com/office/2006/metadata/properties" xmlns:ns2="414ac566-115a-44a0-a820-43b7855739f7" xmlns:ns3="4e71c2a1-23ac-4584-91f7-f9d885ca417b" targetNamespace="http://schemas.microsoft.com/office/2006/metadata/properties" ma:root="true" ma:fieldsID="11247ad374a57256ab1d484d8e0a2f99" ns2:_="" ns3:_="">
    <xsd:import namespace="414ac566-115a-44a0-a820-43b7855739f7"/>
    <xsd:import namespace="4e71c2a1-23ac-4584-91f7-f9d885ca417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ac566-115a-44a0-a820-43b7855739f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e71c2a1-23ac-4584-91f7-f9d885ca417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FDD1487-863C-4F01-829C-F9D186BC51E8}">
  <ds:schemaRefs>
    <ds:schemaRef ds:uri="http://schemas.microsoft.com/DataMashup"/>
  </ds:schemaRefs>
</ds:datastoreItem>
</file>

<file path=customXml/itemProps2.xml><?xml version="1.0" encoding="utf-8"?>
<ds:datastoreItem xmlns:ds="http://schemas.openxmlformats.org/officeDocument/2006/customXml" ds:itemID="{992B07FF-5B41-4DF3-9FAD-BFE39B597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ac566-115a-44a0-a820-43b7855739f7"/>
    <ds:schemaRef ds:uri="4e71c2a1-23ac-4584-91f7-f9d885ca41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3D564EC-2848-4A71-B7ED-AF57EF3C7C28}">
  <ds:schemaRefs>
    <ds:schemaRef ds:uri="http://schemas.microsoft.com/sharepoint/v3/contenttype/forms"/>
  </ds:schemaRefs>
</ds:datastoreItem>
</file>

<file path=customXml/itemProps4.xml><?xml version="1.0" encoding="utf-8"?>
<ds:datastoreItem xmlns:ds="http://schemas.openxmlformats.org/officeDocument/2006/customXml" ds:itemID="{34DD552C-F01B-4A1A-9472-9FB2E8375379}">
  <ds:schemaRefs>
    <ds:schemaRef ds:uri="http://purl.org/dc/terms/"/>
    <ds:schemaRef ds:uri="414ac566-115a-44a0-a820-43b7855739f7"/>
    <ds:schemaRef ds:uri="http://purl.org/dc/dcmitype/"/>
    <ds:schemaRef ds:uri="http://purl.org/dc/elements/1.1/"/>
    <ds:schemaRef ds:uri="http://schemas.microsoft.com/office/2006/documentManagement/types"/>
    <ds:schemaRef ds:uri="http://schemas.openxmlformats.org/package/2006/metadata/core-properties"/>
    <ds:schemaRef ds:uri="http://schemas.microsoft.com/office/2006/metadata/properties"/>
    <ds:schemaRef ds:uri="http://schemas.microsoft.com/office/infopath/2007/PartnerControls"/>
    <ds:schemaRef ds:uri="4e71c2a1-23ac-4584-91f7-f9d885ca417b"/>
    <ds:schemaRef ds:uri="http://www.w3.org/XML/1998/namespace"/>
  </ds:schemaRefs>
</ds:datastoreItem>
</file>

<file path=docMetadata/LabelInfo.xml><?xml version="1.0" encoding="utf-8"?>
<clbl:labelList xmlns:clbl="http://schemas.microsoft.com/office/2020/mipLabelMetadata">
  <clbl:label id="{46c98d88-e344-4ed4-8496-4ed7712e255d}" enabled="0" method="" siteId="{46c98d88-e344-4ed4-8496-4ed7712e255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68</vt:i4>
      </vt:variant>
    </vt:vector>
  </HeadingPairs>
  <TitlesOfParts>
    <vt:vector size="74" baseType="lpstr">
      <vt:lpstr>Instruction</vt:lpstr>
      <vt:lpstr>DevSel</vt:lpstr>
      <vt:lpstr>Checklist</vt:lpstr>
      <vt:lpstr>Revision History</vt:lpstr>
      <vt:lpstr>OPN_Agilex</vt:lpstr>
      <vt:lpstr>PWR_CAP</vt:lpstr>
      <vt:lpstr>AS</vt:lpstr>
      <vt:lpstr>AVSTX16</vt:lpstr>
      <vt:lpstr>AVSTX8</vt:lpstr>
      <vt:lpstr>lstCFGDONE</vt:lpstr>
      <vt:lpstr>lstCVPDONE</vt:lpstr>
      <vt:lpstr>lstD2FI</vt:lpstr>
      <vt:lpstr>lstDSTDSP</vt:lpstr>
      <vt:lpstr>lstDSTFlt</vt:lpstr>
      <vt:lpstr>lstDSTFVR</vt:lpstr>
      <vt:lpstr>lstDSTLEs</vt:lpstr>
      <vt:lpstr>lstDSTM20</vt:lpstr>
      <vt:lpstr>lstDSTMIO</vt:lpstr>
      <vt:lpstr>lstDSTOPN</vt:lpstr>
      <vt:lpstr>lstDSTPKG</vt:lpstr>
      <vt:lpstr>lstDSTTmp</vt:lpstr>
      <vt:lpstr>lstHPSCLDRST</vt:lpstr>
      <vt:lpstr>lstINTDONE</vt:lpstr>
      <vt:lpstr>lstNCAT</vt:lpstr>
      <vt:lpstr>lstPRESET</vt:lpstr>
      <vt:lpstr>lstSEUERR</vt:lpstr>
      <vt:lpstr>lstStatus</vt:lpstr>
      <vt:lpstr>lstVerifiedVR</vt:lpstr>
      <vt:lpstr>tbl_DCP_source_search</vt:lpstr>
      <vt:lpstr>tblCLKPLL_1</vt:lpstr>
      <vt:lpstr>tblGPIO_RZQ</vt:lpstr>
      <vt:lpstr>tblHPS_CLK</vt:lpstr>
      <vt:lpstr>tblHPS_EMAC</vt:lpstr>
      <vt:lpstr>tblHPS_GPIO</vt:lpstr>
      <vt:lpstr>tblHPS_I2C</vt:lpstr>
      <vt:lpstr>tblHPS_I3C</vt:lpstr>
      <vt:lpstr>tblHPS_JTAG</vt:lpstr>
      <vt:lpstr>tblHPS_NAND</vt:lpstr>
      <vt:lpstr>tblHPS_SDMMC</vt:lpstr>
      <vt:lpstr>tblHPS_SPI</vt:lpstr>
      <vt:lpstr>tblHPS_TRACE</vt:lpstr>
      <vt:lpstr>tblHPS_UART</vt:lpstr>
      <vt:lpstr>tblHPS_UART_OPTION</vt:lpstr>
      <vt:lpstr>tblHPS_USB</vt:lpstr>
      <vt:lpstr>tblHSIO</vt:lpstr>
      <vt:lpstr>tblHVIO</vt:lpstr>
      <vt:lpstr>tblHVIO_OPT_FUNC</vt:lpstr>
      <vt:lpstr>tblSENSOR_1</vt:lpstr>
      <vt:lpstr>var_FILTERS</vt:lpstr>
      <vt:lpstr>var_FILTERS_RESULTS</vt:lpstr>
      <vt:lpstr>var_HPS_EMAC_OPTION</vt:lpstr>
      <vt:lpstr>var_HPS_GPIO_OPTION</vt:lpstr>
      <vt:lpstr>var_HPS_I2C_OPTION</vt:lpstr>
      <vt:lpstr>var_HPS_I3C_OPTION</vt:lpstr>
      <vt:lpstr>var_HPS_JTAG_OPTION</vt:lpstr>
      <vt:lpstr>var_HPS_NAND_OPTION</vt:lpstr>
      <vt:lpstr>var_HPS_OPTION</vt:lpstr>
      <vt:lpstr>var_HPS_SDMMC_OPTION</vt:lpstr>
      <vt:lpstr>var_HPS_SPI_OPTION</vt:lpstr>
      <vt:lpstr>var_HPS_TRACE_OPTION</vt:lpstr>
      <vt:lpstr>var_HPS_UART_OPTION</vt:lpstr>
      <vt:lpstr>var_HPS_USB_OPTION</vt:lpstr>
      <vt:lpstr>var_OPN</vt:lpstr>
      <vt:lpstr>var_PWR_VR</vt:lpstr>
      <vt:lpstr>varCONFIGMODE</vt:lpstr>
      <vt:lpstr>varEMIF</vt:lpstr>
      <vt:lpstr>varEMIF_PRESET</vt:lpstr>
      <vt:lpstr>varHasHPS</vt:lpstr>
      <vt:lpstr>varSDMIO_PRESET</vt:lpstr>
      <vt:lpstr>varSDMIO_PRESET_ASSIGN</vt:lpstr>
      <vt:lpstr>varSmartVID</vt:lpstr>
      <vt:lpstr>vltDST</vt:lpstr>
      <vt:lpstr>DSTMsg!vltDSTMsg</vt:lpstr>
      <vt:lpstr>vltSDMIO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Zeng, Liang;Jiang Zheng</dc:creator>
  <cp:keywords/>
  <dc:description/>
  <cp:lastModifiedBy>Poorna Chandu</cp:lastModifiedBy>
  <cp:revision/>
  <dcterms:created xsi:type="dcterms:W3CDTF">2015-06-05T18:17:20Z</dcterms:created>
  <dcterms:modified xsi:type="dcterms:W3CDTF">2026-07-15T09:02:12Z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0x010100D0AD6CA6AEFE0240859A10AFB6540AC7</vt:lpwstr>
  </property>
  <property fmtid="{D5CDD505-2E9C-101B-9397-08002B2CF9AE}" pid="3" name="MSIP_Label_6a19be41-f3f8-4bff-a5cd-09153d43afda_Enabled">
    <vt:lpwstr>true</vt:lpwstr>
  </property>
  <property fmtid="{D5CDD505-2E9C-101B-9397-08002B2CF9AE}" pid="4" name="MSIP_Label_6a19be41-f3f8-4bff-a5cd-09153d43afda_SetDate">
    <vt:lpwstr>2025-04-22T10:48:01Z</vt:lpwstr>
  </property>
  <property fmtid="{D5CDD505-2E9C-101B-9397-08002B2CF9AE}" pid="5" name="MSIP_Label_6a19be41-f3f8-4bff-a5cd-09153d43afda_Method">
    <vt:lpwstr>Standard</vt:lpwstr>
  </property>
  <property fmtid="{D5CDD505-2E9C-101B-9397-08002B2CF9AE}" pid="6" name="MSIP_Label_6a19be41-f3f8-4bff-a5cd-09153d43afda_Name">
    <vt:lpwstr>Internal</vt:lpwstr>
  </property>
  <property fmtid="{D5CDD505-2E9C-101B-9397-08002B2CF9AE}" pid="7" name="MSIP_Label_6a19be41-f3f8-4bff-a5cd-09153d43afda_SiteId">
    <vt:lpwstr>fbd72e03-d4a5-4110-adce-614d51f2077a</vt:lpwstr>
  </property>
  <property fmtid="{D5CDD505-2E9C-101B-9397-08002B2CF9AE}" pid="8" name="MSIP_Label_6a19be41-f3f8-4bff-a5cd-09153d43afda_ActionId">
    <vt:lpwstr>c3bd5b8b-3797-4bec-af3b-3a3bd10f833b</vt:lpwstr>
  </property>
  <property fmtid="{D5CDD505-2E9C-101B-9397-08002B2CF9AE}" pid="9" name="MSIP_Label_6a19be41-f3f8-4bff-a5cd-09153d43afda_ContentBits">
    <vt:lpwstr>0</vt:lpwstr>
  </property>
  <property fmtid="{D5CDD505-2E9C-101B-9397-08002B2CF9AE}" pid="10" name="MSIP_Label_6a19be41-f3f8-4bff-a5cd-09153d43afda_Tag">
    <vt:lpwstr>10, 3, 0, 1</vt:lpwstr>
  </property>
</Properties>
</file>